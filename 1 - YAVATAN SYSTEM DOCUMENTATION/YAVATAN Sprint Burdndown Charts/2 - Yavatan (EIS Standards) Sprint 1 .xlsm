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3D1A710C-6663-3D7B-7F91-EC182F24A4BC}"/>
  <workbookPr codeName="ThisWorkbook"/>
  <mc:AlternateContent xmlns:mc="http://schemas.openxmlformats.org/markup-compatibility/2006">
    <mc:Choice Requires="x15">
      <x15ac:absPath xmlns:x15ac="http://schemas.microsoft.com/office/spreadsheetml/2010/11/ac" url="G:\2 - PENDING\1 - YAVATAN SYSTEM DOCUMENTATION\YAVATAN Sprint Burdndown Charts\"/>
    </mc:Choice>
  </mc:AlternateContent>
  <xr:revisionPtr revIDLastSave="0" documentId="13_ncr:1_{7E4E9B79-95A7-4C05-8D1A-F99457413A1E}" xr6:coauthVersionLast="38" xr6:coauthVersionMax="38" xr10:uidLastSave="{00000000-0000-0000-0000-000000000000}"/>
  <workbookProtection workbookPassword="B126" lockStructure="1"/>
  <bookViews>
    <workbookView xWindow="0" yWindow="0" windowWidth="19200" windowHeight="6945" xr2:uid="{00000000-000D-0000-FFFF-FFFF00000000}"/>
  </bookViews>
  <sheets>
    <sheet name="Burndown Chart" sheetId="1" r:id="rId1"/>
    <sheet name="Input" sheetId="3" r:id="rId2"/>
    <sheet name="Final Data" sheetId="4" state="veryHidden" r:id="rId3"/>
  </sheets>
  <definedNames>
    <definedName name="Date">OFFSET('Final Data'!$A$1,0,1,1,SUMPRODUCT(--('Final Data'!$B$1:$BJ$1&lt;&gt;"")))</definedName>
    <definedName name="HoursR">OFFSET('Final Data'!$A$3,0,1,1,SUMPRODUCT(--('Final Data'!$B$3:$BJ$3&lt;&gt;"")))</definedName>
    <definedName name="PlannedE">OFFSET('Final Data'!$A$2,0,1,1,SUMPRODUCT(--('Final Data'!$B$2:$BJ$2&lt;&gt;"")))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4" l="1"/>
  <c r="A3" i="4"/>
  <c r="B5" i="4" l="1"/>
  <c r="B2" i="3" l="1"/>
  <c r="B2" i="4" l="1"/>
  <c r="B3" i="4"/>
  <c r="H1" i="4" l="1"/>
  <c r="BJ1" i="4"/>
  <c r="BI1" i="4"/>
  <c r="BH1" i="4"/>
  <c r="BG1" i="4"/>
  <c r="BF1" i="4"/>
  <c r="BE1" i="4"/>
  <c r="BD1" i="4"/>
  <c r="BC1" i="4"/>
  <c r="BB1" i="4"/>
  <c r="BA1" i="4"/>
  <c r="AZ1" i="4"/>
  <c r="AY1" i="4"/>
  <c r="AX1" i="4"/>
  <c r="AW1" i="4"/>
  <c r="AV1" i="4"/>
  <c r="AU1" i="4"/>
  <c r="AT1" i="4"/>
  <c r="AS1" i="4"/>
  <c r="AR1" i="4"/>
  <c r="AQ1" i="4"/>
  <c r="AP1" i="4"/>
  <c r="AO1" i="4"/>
  <c r="AN1" i="4"/>
  <c r="AM1" i="4"/>
  <c r="AL1" i="4"/>
  <c r="AK1" i="4"/>
  <c r="AJ1" i="4"/>
  <c r="AI1" i="4"/>
  <c r="AH1" i="4"/>
  <c r="AG1" i="4"/>
  <c r="AF1" i="4"/>
  <c r="AE1" i="4"/>
  <c r="AD1" i="4"/>
  <c r="AC1" i="4"/>
  <c r="AB1" i="4"/>
  <c r="AA1" i="4"/>
  <c r="Z1" i="4"/>
  <c r="Y1" i="4"/>
  <c r="X1" i="4"/>
  <c r="W1" i="4"/>
  <c r="V1" i="4"/>
  <c r="U1" i="4"/>
  <c r="T1" i="4"/>
  <c r="S1" i="4"/>
  <c r="R1" i="4"/>
  <c r="Q1" i="4"/>
  <c r="P1" i="4"/>
  <c r="O1" i="4"/>
  <c r="N1" i="4"/>
  <c r="M1" i="4"/>
  <c r="L1" i="4"/>
  <c r="K1" i="4"/>
  <c r="J1" i="4"/>
  <c r="I1" i="4"/>
  <c r="G1" i="4"/>
  <c r="F1" i="4"/>
  <c r="E1" i="4"/>
  <c r="D1" i="4"/>
  <c r="C1" i="4"/>
  <c r="S4" i="4"/>
  <c r="K3" i="4" l="1"/>
  <c r="C3" i="4"/>
  <c r="L3" i="4"/>
  <c r="T4" i="4"/>
  <c r="T5" i="4"/>
  <c r="AB4" i="4"/>
  <c r="AB5" i="4"/>
  <c r="AJ4" i="4"/>
  <c r="AJ5" i="4"/>
  <c r="AR4" i="4"/>
  <c r="AR5" i="4"/>
  <c r="AZ4" i="4"/>
  <c r="AZ5" i="4"/>
  <c r="BH4" i="4"/>
  <c r="BH5" i="4"/>
  <c r="D3" i="4"/>
  <c r="I3" i="4"/>
  <c r="M3" i="4"/>
  <c r="Q3" i="4"/>
  <c r="U4" i="4"/>
  <c r="U5" i="4"/>
  <c r="Y4" i="4"/>
  <c r="Y5" i="4"/>
  <c r="AC4" i="4"/>
  <c r="AC5" i="4"/>
  <c r="AG4" i="4"/>
  <c r="AG5" i="4"/>
  <c r="AK4" i="4"/>
  <c r="AK5" i="4"/>
  <c r="AO4" i="4"/>
  <c r="AO5" i="4"/>
  <c r="AS4" i="4"/>
  <c r="AS5" i="4"/>
  <c r="AW4" i="4"/>
  <c r="AW5" i="4"/>
  <c r="BA4" i="4"/>
  <c r="BA5" i="4"/>
  <c r="BE4" i="4"/>
  <c r="BE5" i="4"/>
  <c r="BI4" i="4"/>
  <c r="BI5" i="4"/>
  <c r="F3" i="4"/>
  <c r="O3" i="4"/>
  <c r="G3" i="4"/>
  <c r="P3" i="4"/>
  <c r="X5" i="4"/>
  <c r="X4" i="4"/>
  <c r="AF5" i="4"/>
  <c r="AF4" i="4"/>
  <c r="AN5" i="4"/>
  <c r="AN4" i="4"/>
  <c r="AV5" i="4"/>
  <c r="AV4" i="4"/>
  <c r="BD5" i="4"/>
  <c r="BD4" i="4"/>
  <c r="E3" i="4"/>
  <c r="J3" i="4"/>
  <c r="N3" i="4"/>
  <c r="R3" i="4"/>
  <c r="V5" i="4"/>
  <c r="V4" i="4"/>
  <c r="Z5" i="4"/>
  <c r="Z4" i="4"/>
  <c r="AD5" i="4"/>
  <c r="AD4" i="4"/>
  <c r="AH5" i="4"/>
  <c r="AH4" i="4"/>
  <c r="AL5" i="4"/>
  <c r="AL4" i="4"/>
  <c r="AP5" i="4"/>
  <c r="AP4" i="4"/>
  <c r="AT5" i="4"/>
  <c r="AT4" i="4"/>
  <c r="AX5" i="4"/>
  <c r="AX4" i="4"/>
  <c r="BB5" i="4"/>
  <c r="BB4" i="4"/>
  <c r="BF5" i="4"/>
  <c r="BF4" i="4"/>
  <c r="BJ5" i="4"/>
  <c r="BJ4" i="4"/>
  <c r="W4" i="4"/>
  <c r="W5" i="4"/>
  <c r="AA4" i="4"/>
  <c r="AA5" i="4"/>
  <c r="AE4" i="4"/>
  <c r="AE5" i="4"/>
  <c r="AI4" i="4"/>
  <c r="AI5" i="4"/>
  <c r="AM4" i="4"/>
  <c r="AM5" i="4"/>
  <c r="AQ4" i="4"/>
  <c r="AQ5" i="4"/>
  <c r="AU4" i="4"/>
  <c r="AU5" i="4"/>
  <c r="AY4" i="4"/>
  <c r="AY5" i="4"/>
  <c r="BC5" i="4"/>
  <c r="BC4" i="4"/>
  <c r="BG4" i="4"/>
  <c r="BG5" i="4"/>
  <c r="H3" i="4"/>
  <c r="Y3" i="4"/>
  <c r="AG2" i="4"/>
  <c r="AG3" i="4"/>
  <c r="AO2" i="4"/>
  <c r="AO3" i="4"/>
  <c r="AW2" i="4"/>
  <c r="AW3" i="4"/>
  <c r="BE2" i="4"/>
  <c r="BE3" i="4"/>
  <c r="V3" i="4"/>
  <c r="AD3" i="4"/>
  <c r="AL3" i="4"/>
  <c r="AL2" i="4"/>
  <c r="AP3" i="4"/>
  <c r="AP2" i="4"/>
  <c r="AX3" i="4"/>
  <c r="AX2" i="4"/>
  <c r="BF3" i="4"/>
  <c r="BF2" i="4"/>
  <c r="BJ3" i="4"/>
  <c r="BJ2" i="4"/>
  <c r="W3" i="4"/>
  <c r="AA3" i="4"/>
  <c r="AE3" i="4"/>
  <c r="AI3" i="4"/>
  <c r="AI2" i="4"/>
  <c r="AM3" i="4"/>
  <c r="AM2" i="4"/>
  <c r="AQ3" i="4"/>
  <c r="AQ2" i="4"/>
  <c r="AU3" i="4"/>
  <c r="AU2" i="4"/>
  <c r="AY3" i="4"/>
  <c r="AY2" i="4"/>
  <c r="BC3" i="4"/>
  <c r="BC2" i="4"/>
  <c r="BG3" i="4"/>
  <c r="BG2" i="4"/>
  <c r="U3" i="4"/>
  <c r="AC3" i="4"/>
  <c r="AK2" i="4"/>
  <c r="AK3" i="4"/>
  <c r="AS2" i="4"/>
  <c r="AS3" i="4"/>
  <c r="BA2" i="4"/>
  <c r="BA3" i="4"/>
  <c r="BI2" i="4"/>
  <c r="BI3" i="4"/>
  <c r="Z3" i="4"/>
  <c r="AH3" i="4"/>
  <c r="AH2" i="4"/>
  <c r="AT3" i="4"/>
  <c r="AT2" i="4"/>
  <c r="BB3" i="4"/>
  <c r="BB2" i="4"/>
  <c r="T3" i="4"/>
  <c r="X3" i="4"/>
  <c r="AB3" i="4"/>
  <c r="AF2" i="4"/>
  <c r="AF3" i="4"/>
  <c r="AJ2" i="4"/>
  <c r="AJ3" i="4"/>
  <c r="AN2" i="4"/>
  <c r="AN3" i="4"/>
  <c r="AR2" i="4"/>
  <c r="AR3" i="4"/>
  <c r="AV2" i="4"/>
  <c r="AV3" i="4"/>
  <c r="AZ2" i="4"/>
  <c r="AZ3" i="4"/>
  <c r="BD2" i="4"/>
  <c r="BD3" i="4"/>
  <c r="BH2" i="4"/>
  <c r="BH3" i="4"/>
  <c r="C2" i="4"/>
  <c r="D2" i="4" s="1"/>
  <c r="E2" i="4" s="1"/>
  <c r="F2" i="4" s="1"/>
  <c r="G2" i="4" s="1"/>
  <c r="H2" i="4" s="1"/>
  <c r="I2" i="4" s="1"/>
  <c r="J2" i="4" s="1"/>
  <c r="K2" i="4" s="1"/>
  <c r="L2" i="4" s="1"/>
  <c r="M2" i="4" s="1"/>
  <c r="N2" i="4" s="1"/>
  <c r="O2" i="4" s="1"/>
  <c r="P2" i="4" s="1"/>
  <c r="Q2" i="4" s="1"/>
  <c r="R2" i="4" s="1"/>
  <c r="S2" i="4" s="1"/>
  <c r="T2" i="4" s="1"/>
  <c r="U2" i="4" s="1"/>
  <c r="V2" i="4" s="1"/>
  <c r="W2" i="4" s="1"/>
  <c r="X2" i="4" s="1"/>
  <c r="Y2" i="4" s="1"/>
  <c r="Z2" i="4" s="1"/>
  <c r="AA2" i="4" s="1"/>
  <c r="AB2" i="4" s="1"/>
  <c r="AC2" i="4" s="1"/>
  <c r="AD2" i="4" s="1"/>
  <c r="AE2" i="4" s="1"/>
  <c r="S3" i="4"/>
  <c r="P4" i="4"/>
  <c r="R4" i="4"/>
  <c r="Q4" i="4"/>
  <c r="O4" i="4"/>
  <c r="G4" i="4"/>
  <c r="L4" i="4"/>
  <c r="H4" i="4"/>
  <c r="J4" i="4"/>
  <c r="I4" i="4"/>
  <c r="C4" i="4"/>
  <c r="F4" i="4"/>
  <c r="D4" i="4"/>
  <c r="E4" i="4"/>
  <c r="M4" i="4"/>
  <c r="N4" i="4"/>
  <c r="K4" i="4"/>
  <c r="C5" i="4" l="1"/>
  <c r="D5" i="4" s="1"/>
  <c r="E5" i="4" s="1"/>
  <c r="F5" i="4" s="1"/>
  <c r="G5" i="4" s="1"/>
  <c r="H5" i="4" s="1"/>
  <c r="I5" i="4" s="1"/>
  <c r="J5" i="4" s="1"/>
  <c r="K5" i="4" s="1"/>
  <c r="L5" i="4" s="1"/>
  <c r="M5" i="4" s="1"/>
  <c r="N5" i="4" s="1"/>
  <c r="O5" i="4" s="1"/>
  <c r="P5" i="4" s="1"/>
  <c r="Q5" i="4" s="1"/>
  <c r="R5" i="4" s="1"/>
  <c r="S5" i="4" s="1"/>
</calcChain>
</file>

<file path=xl/sharedStrings.xml><?xml version="1.0" encoding="utf-8"?>
<sst xmlns="http://schemas.openxmlformats.org/spreadsheetml/2006/main" count="16" uniqueCount="16">
  <si>
    <t>Planned Effort</t>
  </si>
  <si>
    <t>Date</t>
  </si>
  <si>
    <t>Hours Remaining</t>
  </si>
  <si>
    <t>Day 0</t>
  </si>
  <si>
    <t>Burndown Chart</t>
  </si>
  <si>
    <t>Completed Tasks</t>
  </si>
  <si>
    <t>Remaining Tasks</t>
  </si>
  <si>
    <t>Customize the Legend</t>
  </si>
  <si>
    <t>Task / Story / Sprints</t>
  </si>
  <si>
    <t>Dates can be entered till column BJ, hence it supports upto 60 days (time duration).
Tasks can be entered till row 202, hence upto 200 tasks can be entered.
Enter Remaining Effort to complete the task at the end of that day only - 0 would mean that the task is completed</t>
  </si>
  <si>
    <r>
      <rPr>
        <b/>
        <sz val="11"/>
        <color theme="0"/>
        <rFont val="Calibri"/>
        <family val="2"/>
        <scheme val="minor"/>
      </rPr>
      <t>Validations</t>
    </r>
    <r>
      <rPr>
        <b/>
        <sz val="11"/>
        <color theme="1"/>
        <rFont val="Calibri"/>
        <family val="2"/>
        <scheme val="minor"/>
      </rPr>
      <t xml:space="preserve"> - Remaining Efforts can not be &gt; Planned Effort, Next Day's Remaining Effort should be &lt;= Previous Day's Remaining Effort, Negative entry is not allowed, Planned Effort, if Entered, should be &gt;=0, 
</t>
    </r>
    <r>
      <rPr>
        <b/>
        <sz val="11"/>
        <color theme="0"/>
        <rFont val="Calibri"/>
        <family val="2"/>
        <scheme val="minor"/>
      </rPr>
      <t>Weekend date will be highlighted in Orange.</t>
    </r>
  </si>
  <si>
    <t>As a product owner, I want to see all the input controls to know if the sizes are the same.</t>
  </si>
  <si>
    <t>As a product owner, I want to see a well-defined color combination of the template that is appropriate to the eyes of the users.</t>
  </si>
  <si>
    <t>As a product owner, I want to see the important data that may, and will be used in the system.</t>
  </si>
  <si>
    <t>As a product owner, I want to see have prompt and confirmation messages before proceeding to the process.</t>
  </si>
  <si>
    <t>As a product owner, I want to see user-interface to be flexible and compatible to different browsers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</si>
</sst>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d\-mmm\-yy;@"/>
    <numFmt numFmtId="165" formatCode="[$-409]d\-mmm\-yy;@"/>
    <numFmt numFmtId="166" formatCode="m/d/yy;@"/>
  </numFmts>
  <fonts count="9" x14ac:knownFonts="1">
    <font>
      <sz val="11"/>
      <color theme="1"/>
      <name val="Calibri"/>
      <family val="2"/>
      <scheme val="minor"/>
    </font>
    <font>
      <b/>
      <sz val="11"/>
      <color theme="0"/>
      <name val="Calibri"/>
      <family val="2"/>
      <scheme val="minor"/>
    </font>
    <font>
      <b/>
      <sz val="11"/>
      <color theme="1"/>
      <name val="Calibri"/>
      <family val="2"/>
      <scheme val="minor"/>
    </font>
    <font>
      <sz val="28"/>
      <color theme="0"/>
      <name val="Calibri"/>
      <family val="2"/>
      <scheme val="minor"/>
    </font>
    <font>
      <sz val="11"/>
      <color rgb="FF000000"/>
      <name val="Calibri"/>
      <family val="2"/>
    </font>
    <font>
      <sz val="20"/>
      <color rgb="FF000000"/>
      <name val="Calibri"/>
      <family val="2"/>
    </font>
    <font>
      <sz val="11"/>
      <color theme="1"/>
      <name val="Arial"/>
      <family val="2"/>
    </font>
    <font>
      <b/>
      <sz val="12"/>
      <color theme="1"/>
      <name val="Calibri"/>
      <family val="2"/>
      <scheme val="minor"/>
    </font>
    <font>
      <sz val="10"/>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1E6D41"/>
        <bgColor indexed="64"/>
      </patternFill>
    </fill>
    <fill>
      <patternFill patternType="solid">
        <fgColor rgb="FFCC9900"/>
        <bgColor indexed="64"/>
      </patternFill>
    </fill>
  </fills>
  <borders count="3">
    <border>
      <left/>
      <right/>
      <top/>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21">
    <xf numFmtId="0" fontId="0" fillId="0" borderId="0" xfId="0"/>
    <xf numFmtId="0" fontId="2" fillId="0" borderId="0" xfId="0" applyFont="1"/>
    <xf numFmtId="0" fontId="0" fillId="0" borderId="0" xfId="0" applyFont="1"/>
    <xf numFmtId="0" fontId="0" fillId="0" borderId="0" xfId="0" applyAlignment="1">
      <alignment wrapText="1"/>
    </xf>
    <xf numFmtId="1" fontId="0" fillId="0" borderId="0" xfId="0" applyNumberFormat="1"/>
    <xf numFmtId="164" fontId="2" fillId="0" borderId="0" xfId="0" applyNumberFormat="1" applyFont="1"/>
    <xf numFmtId="1" fontId="2" fillId="0" borderId="0" xfId="0" applyNumberFormat="1" applyFont="1"/>
    <xf numFmtId="1" fontId="0" fillId="0" borderId="0" xfId="0" applyNumberFormat="1" applyFont="1"/>
    <xf numFmtId="165" fontId="2" fillId="0" borderId="0" xfId="0" applyNumberFormat="1" applyFont="1"/>
    <xf numFmtId="0" fontId="1" fillId="5" borderId="0" xfId="0" applyFont="1" applyFill="1"/>
    <xf numFmtId="0" fontId="6" fillId="0" borderId="0" xfId="0" applyFont="1" applyAlignment="1">
      <alignment wrapText="1"/>
    </xf>
    <xf numFmtId="164" fontId="7" fillId="0" borderId="0" xfId="0" applyNumberFormat="1" applyFont="1" applyAlignment="1">
      <alignment wrapText="1"/>
    </xf>
    <xf numFmtId="166" fontId="7" fillId="0" borderId="0" xfId="0" applyNumberFormat="1" applyFont="1" applyAlignment="1">
      <alignment wrapText="1"/>
    </xf>
    <xf numFmtId="0" fontId="3" fillId="4" borderId="0" xfId="0" applyFont="1" applyFill="1" applyAlignment="1" applyProtection="1">
      <alignment horizontal="center"/>
    </xf>
    <xf numFmtId="0" fontId="3" fillId="0" borderId="0" xfId="0" applyFont="1" applyAlignment="1" applyProtection="1"/>
    <xf numFmtId="0" fontId="0" fillId="0" borderId="0" xfId="0" applyAlignment="1"/>
    <xf numFmtId="0" fontId="2" fillId="2" borderId="0" xfId="0" applyNumberFormat="1" applyFont="1" applyFill="1" applyAlignment="1">
      <alignment wrapText="1"/>
    </xf>
    <xf numFmtId="0" fontId="2" fillId="3" borderId="0" xfId="0" applyFont="1" applyFill="1" applyAlignment="1">
      <alignment wrapText="1"/>
    </xf>
    <xf numFmtId="0" fontId="2" fillId="0" borderId="0" xfId="0" applyFont="1" applyAlignment="1"/>
    <xf numFmtId="0" fontId="8" fillId="0" borderId="1" xfId="0" applyFont="1" applyBorder="1" applyAlignment="1">
      <alignment vertical="center" wrapText="1"/>
    </xf>
    <xf numFmtId="0" fontId="8" fillId="0" borderId="2" xfId="0" applyFont="1" applyBorder="1" applyAlignment="1">
      <alignment vertical="center" wrapText="1"/>
    </xf>
  </cellXfs>
  <cellStyles count="1">
    <cellStyle name="Normal" xfId="0" builtinId="0"/>
  </cellStyles>
  <dxfs count="2">
    <dxf>
      <fill>
        <patternFill>
          <bgColor rgb="FFFFC000"/>
        </patternFill>
      </fill>
    </dxf>
    <dxf>
      <fill>
        <patternFill>
          <bgColor rgb="FFFFC000"/>
        </patternFill>
      </fill>
    </dxf>
  </dxfs>
  <tableStyles count="0" defaultTableStyle="TableStyleMedium2" defaultPivotStyle="PivotStyleLight16"/>
  <colors>
    <mruColors>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b="1"/>
              <a:t>YAVATAN DCMS System</a:t>
            </a:r>
          </a:p>
          <a:p>
            <a:pPr>
              <a:defRPr/>
            </a:pPr>
            <a:r>
              <a:rPr lang="en-US" b="1"/>
              <a:t>(Sprint 1 of UI Standards)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100</c:v>
                </c:pt>
                <c:pt idx="1">
                  <c:v>92.857142857142861</c:v>
                </c:pt>
                <c:pt idx="2">
                  <c:v>85.714285714285722</c:v>
                </c:pt>
                <c:pt idx="3">
                  <c:v>78.571428571428584</c:v>
                </c:pt>
                <c:pt idx="4">
                  <c:v>71.428571428571445</c:v>
                </c:pt>
                <c:pt idx="5">
                  <c:v>64.285714285714306</c:v>
                </c:pt>
                <c:pt idx="6">
                  <c:v>57.14285714285716</c:v>
                </c:pt>
                <c:pt idx="7">
                  <c:v>50.000000000000014</c:v>
                </c:pt>
                <c:pt idx="8">
                  <c:v>42.857142857142868</c:v>
                </c:pt>
                <c:pt idx="9">
                  <c:v>35.714285714285722</c:v>
                </c:pt>
                <c:pt idx="10">
                  <c:v>28.57142857142858</c:v>
                </c:pt>
                <c:pt idx="11">
                  <c:v>21.428571428571438</c:v>
                </c:pt>
                <c:pt idx="12">
                  <c:v>14.285714285714295</c:v>
                </c:pt>
                <c:pt idx="13">
                  <c:v>7.1428571428571521</c:v>
                </c:pt>
                <c:pt idx="14">
                  <c:v>8.8817841970012523E-15</c:v>
                </c:pt>
              </c:numCache>
            </c:numRef>
          </c:val>
          <c:smooth val="0"/>
          <c:extLst>
            <c:ext xmlns:c16="http://schemas.microsoft.com/office/drawing/2014/chart" uri="{C3380CC4-5D6E-409C-BE32-E72D297353CC}">
              <c16:uniqueId val="{00000000-23A1-48C4-99B6-F50EEE570237}"/>
            </c:ext>
          </c:extLst>
        </c:ser>
        <c:ser>
          <c:idx val="1"/>
          <c:order val="1"/>
          <c:tx>
            <c:strRef>
              <c:f>'Final Data'!$A$3</c:f>
              <c:strCache>
                <c:ptCount val="1"/>
                <c:pt idx="0">
                  <c:v>Hours Remaining</c:v>
                </c:pt>
              </c:strCache>
            </c:strRef>
          </c:tx>
          <c:spPr>
            <a:ln w="22225" cap="rnd" cmpd="sng" algn="ctr">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100</c:v>
                </c:pt>
                <c:pt idx="1">
                  <c:v>60</c:v>
                </c:pt>
                <c:pt idx="2">
                  <c:v>25</c:v>
                </c:pt>
                <c:pt idx="3">
                  <c:v>20</c:v>
                </c:pt>
                <c:pt idx="4">
                  <c:v>15</c:v>
                </c:pt>
                <c:pt idx="5">
                  <c:v>5</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1-23A1-48C4-99B6-F50EEE57023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9106496"/>
        <c:axId val="469725096"/>
      </c:lineChart>
      <c:catAx>
        <c:axId val="46910649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096"/>
        <c:crosses val="autoZero"/>
        <c:auto val="1"/>
        <c:lblAlgn val="ctr"/>
        <c:lblOffset val="100"/>
        <c:noMultiLvlLbl val="0"/>
      </c:catAx>
      <c:valAx>
        <c:axId val="4697250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106496"/>
        <c:crosses val="autoZero"/>
        <c:crossBetween val="midCat"/>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of UI Standards)</a:t>
            </a:r>
            <a:endParaRPr lang="en-US" sz="1100">
              <a:effectLst/>
            </a:endParaRPr>
          </a:p>
        </c:rich>
      </c:tx>
      <c:layout>
        <c:manualLayout>
          <c:xMode val="edge"/>
          <c:yMode val="edge"/>
          <c:x val="0.57643829568032956"/>
          <c:y val="3.5366931918656058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manualLayout>
          <c:layoutTarget val="inner"/>
          <c:xMode val="edge"/>
          <c:yMode val="edge"/>
          <c:x val="7.4961015375417148E-2"/>
          <c:y val="0.16089308465089078"/>
          <c:w val="0.91665808129124049"/>
          <c:h val="0.54672570437979073"/>
        </c:manualLayout>
      </c:layout>
      <c:areaChart>
        <c:grouping val="stacked"/>
        <c:varyColors val="0"/>
        <c:ser>
          <c:idx val="1"/>
          <c:order val="1"/>
          <c:tx>
            <c:strRef>
              <c:f>'Final Data'!$A$3</c:f>
              <c:strCache>
                <c:ptCount val="1"/>
                <c:pt idx="0">
                  <c:v>Hours Remaining</c:v>
                </c:pt>
              </c:strCache>
            </c:strRef>
          </c:tx>
          <c:spPr>
            <a:solidFill>
              <a:srgbClr val="FFFF00"/>
            </a:solidFill>
            <a:ln w="9525" cap="flat" cmpd="sng" algn="ctr">
              <a:solidFill>
                <a:schemeClr val="accent2">
                  <a:shade val="95000"/>
                </a:schemeClr>
              </a:solidFill>
              <a:round/>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[0]!HoursR</c:f>
              <c:numCache>
                <c:formatCode>0</c:formatCode>
                <c:ptCount val="15"/>
                <c:pt idx="0">
                  <c:v>100</c:v>
                </c:pt>
                <c:pt idx="1">
                  <c:v>60</c:v>
                </c:pt>
                <c:pt idx="2">
                  <c:v>25</c:v>
                </c:pt>
                <c:pt idx="3">
                  <c:v>20</c:v>
                </c:pt>
                <c:pt idx="4">
                  <c:v>15</c:v>
                </c:pt>
                <c:pt idx="5">
                  <c:v>5</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946-4595-A082-F4236752EF33}"/>
            </c:ext>
          </c:extLst>
        </c:ser>
        <c:dLbls>
          <c:showLegendKey val="0"/>
          <c:showVal val="0"/>
          <c:showCatName val="0"/>
          <c:showSerName val="0"/>
          <c:showPercent val="0"/>
          <c:showBubbleSize val="0"/>
        </c:dLbls>
        <c:axId val="467268456"/>
        <c:axId val="467271592"/>
      </c:area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[0]!Date</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[0]!PlannedE</c:f>
              <c:numCache>
                <c:formatCode>0</c:formatCode>
                <c:ptCount val="15"/>
                <c:pt idx="0">
                  <c:v>100</c:v>
                </c:pt>
                <c:pt idx="1">
                  <c:v>92.857142857142861</c:v>
                </c:pt>
                <c:pt idx="2">
                  <c:v>85.714285714285722</c:v>
                </c:pt>
                <c:pt idx="3">
                  <c:v>78.571428571428584</c:v>
                </c:pt>
                <c:pt idx="4">
                  <c:v>71.428571428571445</c:v>
                </c:pt>
                <c:pt idx="5">
                  <c:v>64.285714285714306</c:v>
                </c:pt>
                <c:pt idx="6">
                  <c:v>57.14285714285716</c:v>
                </c:pt>
                <c:pt idx="7">
                  <c:v>50.000000000000014</c:v>
                </c:pt>
                <c:pt idx="8">
                  <c:v>42.857142857142868</c:v>
                </c:pt>
                <c:pt idx="9">
                  <c:v>35.714285714285722</c:v>
                </c:pt>
                <c:pt idx="10">
                  <c:v>28.57142857142858</c:v>
                </c:pt>
                <c:pt idx="11">
                  <c:v>21.428571428571438</c:v>
                </c:pt>
                <c:pt idx="12">
                  <c:v>14.285714285714295</c:v>
                </c:pt>
                <c:pt idx="13">
                  <c:v>7.1428571428571521</c:v>
                </c:pt>
                <c:pt idx="14">
                  <c:v>8.8817841970012523E-15</c:v>
                </c:pt>
              </c:numCache>
            </c:numRef>
          </c:val>
          <c:smooth val="0"/>
          <c:extLst>
            <c:ext xmlns:c16="http://schemas.microsoft.com/office/drawing/2014/chart" uri="{C3380CC4-5D6E-409C-BE32-E72D297353CC}">
              <c16:uniqueId val="{00000001-5946-4595-A082-F4236752EF33}"/>
            </c:ext>
          </c:extLst>
        </c:ser>
        <c:dLbls>
          <c:showLegendKey val="0"/>
          <c:showVal val="0"/>
          <c:showCatName val="0"/>
          <c:showSerName val="0"/>
          <c:showPercent val="0"/>
          <c:showBubbleSize val="0"/>
        </c:dLbls>
        <c:marker val="1"/>
        <c:smooth val="0"/>
        <c:axId val="467268456"/>
        <c:axId val="467271592"/>
      </c:lineChart>
      <c:catAx>
        <c:axId val="4672684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1592"/>
        <c:crosses val="autoZero"/>
        <c:auto val="1"/>
        <c:lblAlgn val="ctr"/>
        <c:lblOffset val="100"/>
        <c:noMultiLvlLbl val="0"/>
      </c:catAx>
      <c:valAx>
        <c:axId val="4672715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68456"/>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of UI Standards)</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1"/>
          <c:order val="1"/>
          <c:tx>
            <c:strRef>
              <c:f>'Final Data'!$A$3</c:f>
              <c:strCache>
                <c:ptCount val="1"/>
                <c:pt idx="0">
                  <c:v>Hours Remaining</c:v>
                </c:pt>
              </c:strCache>
            </c:strRef>
          </c:tx>
          <c:spPr>
            <a:solidFill>
              <a:srgbClr val="FFC000"/>
            </a:soli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100</c:v>
                </c:pt>
                <c:pt idx="1">
                  <c:v>60</c:v>
                </c:pt>
                <c:pt idx="2">
                  <c:v>25</c:v>
                </c:pt>
                <c:pt idx="3">
                  <c:v>20</c:v>
                </c:pt>
                <c:pt idx="4">
                  <c:v>15</c:v>
                </c:pt>
                <c:pt idx="5">
                  <c:v>5</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4290-46BB-B1BF-8E51F7BACC71}"/>
            </c:ext>
          </c:extLst>
        </c:ser>
        <c:dLbls>
          <c:showLegendKey val="0"/>
          <c:showVal val="0"/>
          <c:showCatName val="0"/>
          <c:showSerName val="0"/>
          <c:showPercent val="0"/>
          <c:showBubbleSize val="0"/>
        </c:dLbls>
        <c:gapWidth val="150"/>
        <c:axId val="469725880"/>
        <c:axId val="469724312"/>
      </c:barChart>
      <c:lineChart>
        <c:grouping val="standard"/>
        <c:varyColors val="0"/>
        <c:ser>
          <c:idx val="0"/>
          <c:order val="0"/>
          <c:tx>
            <c:strRef>
              <c:f>'Final Data'!$A$2</c:f>
              <c:strCache>
                <c:ptCount val="1"/>
                <c:pt idx="0">
                  <c:v>Planned Effort</c:v>
                </c:pt>
              </c:strCache>
            </c:strRef>
          </c:tx>
          <c:spPr>
            <a:ln w="22225" cap="rnd" cmpd="sng" algn="ctr">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100</c:v>
                </c:pt>
                <c:pt idx="1">
                  <c:v>92.857142857142861</c:v>
                </c:pt>
                <c:pt idx="2">
                  <c:v>85.714285714285722</c:v>
                </c:pt>
                <c:pt idx="3">
                  <c:v>78.571428571428584</c:v>
                </c:pt>
                <c:pt idx="4">
                  <c:v>71.428571428571445</c:v>
                </c:pt>
                <c:pt idx="5">
                  <c:v>64.285714285714306</c:v>
                </c:pt>
                <c:pt idx="6">
                  <c:v>57.14285714285716</c:v>
                </c:pt>
                <c:pt idx="7">
                  <c:v>50.000000000000014</c:v>
                </c:pt>
                <c:pt idx="8">
                  <c:v>42.857142857142868</c:v>
                </c:pt>
                <c:pt idx="9">
                  <c:v>35.714285714285722</c:v>
                </c:pt>
                <c:pt idx="10">
                  <c:v>28.57142857142858</c:v>
                </c:pt>
                <c:pt idx="11">
                  <c:v>21.428571428571438</c:v>
                </c:pt>
                <c:pt idx="12">
                  <c:v>14.285714285714295</c:v>
                </c:pt>
                <c:pt idx="13">
                  <c:v>7.1428571428571521</c:v>
                </c:pt>
                <c:pt idx="14">
                  <c:v>8.8817841970012523E-15</c:v>
                </c:pt>
              </c:numCache>
            </c:numRef>
          </c:val>
          <c:smooth val="0"/>
          <c:extLst>
            <c:ext xmlns:c16="http://schemas.microsoft.com/office/drawing/2014/chart" uri="{C3380CC4-5D6E-409C-BE32-E72D297353CC}">
              <c16:uniqueId val="{00000001-4290-46BB-B1BF-8E51F7BACC7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469725880"/>
        <c:axId val="469724312"/>
      </c:lineChart>
      <c:catAx>
        <c:axId val="46972588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4312"/>
        <c:crosses val="autoZero"/>
        <c:auto val="1"/>
        <c:lblAlgn val="ctr"/>
        <c:lblOffset val="100"/>
        <c:noMultiLvlLbl val="0"/>
      </c:catAx>
      <c:valAx>
        <c:axId val="46972431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9725880"/>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400" b="1" i="0" baseline="0">
                <a:effectLst/>
              </a:rPr>
              <a:t>YAVATAN DCMS System</a:t>
            </a:r>
            <a:endParaRPr lang="en-US" sz="1100">
              <a:effectLst/>
            </a:endParaRPr>
          </a:p>
          <a:p>
            <a:pPr>
              <a:defRPr/>
            </a:pPr>
            <a:r>
              <a:rPr lang="en-US" sz="1400" b="1" i="0" baseline="0">
                <a:effectLst/>
              </a:rPr>
              <a:t>(Sprint 1 of UI Standards)</a:t>
            </a:r>
            <a:endParaRPr lang="en-US" sz="1100">
              <a:effectLst/>
            </a:endParaRPr>
          </a:p>
          <a:p>
            <a:pPr>
              <a:defRPr/>
            </a:pP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barChart>
        <c:barDir val="col"/>
        <c:grouping val="clustered"/>
        <c:varyColors val="0"/>
        <c:ser>
          <c:idx val="0"/>
          <c:order val="0"/>
          <c:tx>
            <c:strRef>
              <c:f>'Final Data'!$A$2</c:f>
              <c:strCache>
                <c:ptCount val="1"/>
                <c:pt idx="0">
                  <c:v>Planned Effort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Data'!$B$2:$P$2</c:f>
              <c:numCache>
                <c:formatCode>0</c:formatCode>
                <c:ptCount val="15"/>
                <c:pt idx="0">
                  <c:v>100</c:v>
                </c:pt>
                <c:pt idx="1">
                  <c:v>92.857142857142861</c:v>
                </c:pt>
                <c:pt idx="2">
                  <c:v>85.714285714285722</c:v>
                </c:pt>
                <c:pt idx="3">
                  <c:v>78.571428571428584</c:v>
                </c:pt>
                <c:pt idx="4">
                  <c:v>71.428571428571445</c:v>
                </c:pt>
                <c:pt idx="5">
                  <c:v>64.285714285714306</c:v>
                </c:pt>
                <c:pt idx="6">
                  <c:v>57.14285714285716</c:v>
                </c:pt>
                <c:pt idx="7">
                  <c:v>50.000000000000014</c:v>
                </c:pt>
                <c:pt idx="8">
                  <c:v>42.857142857142868</c:v>
                </c:pt>
                <c:pt idx="9">
                  <c:v>35.714285714285722</c:v>
                </c:pt>
                <c:pt idx="10">
                  <c:v>28.57142857142858</c:v>
                </c:pt>
                <c:pt idx="11">
                  <c:v>21.428571428571438</c:v>
                </c:pt>
                <c:pt idx="12">
                  <c:v>14.285714285714295</c:v>
                </c:pt>
                <c:pt idx="13">
                  <c:v>7.1428571428571521</c:v>
                </c:pt>
                <c:pt idx="14">
                  <c:v>8.8817841970012523E-15</c:v>
                </c:pt>
              </c:numCache>
            </c:numRef>
          </c:val>
          <c:extLst>
            <c:ext xmlns:c16="http://schemas.microsoft.com/office/drawing/2014/chart" uri="{C3380CC4-5D6E-409C-BE32-E72D297353CC}">
              <c16:uniqueId val="{00000000-8618-43D8-98CA-C2C1947CD65F}"/>
            </c:ext>
          </c:extLst>
        </c:ser>
        <c:ser>
          <c:idx val="1"/>
          <c:order val="1"/>
          <c:tx>
            <c:strRef>
              <c:f>'Final Data'!$A$3</c:f>
              <c:strCache>
                <c:ptCount val="1"/>
                <c:pt idx="0">
                  <c:v>Hours Remaining</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'Final Data'!$B$1:$P$1</c:f>
              <c:strCache>
                <c:ptCount val="15"/>
                <c:pt idx="0">
                  <c:v>Day 0</c:v>
                </c:pt>
                <c:pt idx="1">
                  <c:v>1-Nov-18</c:v>
                </c:pt>
                <c:pt idx="2">
                  <c:v>2-Nov-18</c:v>
                </c:pt>
                <c:pt idx="3">
                  <c:v>3-Nov-18</c:v>
                </c:pt>
                <c:pt idx="4">
                  <c:v>4-Nov-18</c:v>
                </c:pt>
                <c:pt idx="5">
                  <c:v>5-Nov-18</c:v>
                </c:pt>
                <c:pt idx="6">
                  <c:v>6-Nov-18</c:v>
                </c:pt>
                <c:pt idx="7">
                  <c:v>7-Nov-18</c:v>
                </c:pt>
                <c:pt idx="8">
                  <c:v>8-Nov-18</c:v>
                </c:pt>
                <c:pt idx="9">
                  <c:v>9-Nov-18</c:v>
                </c:pt>
                <c:pt idx="10">
                  <c:v>10-Nov-18</c:v>
                </c:pt>
                <c:pt idx="11">
                  <c:v>11-Nov-18</c:v>
                </c:pt>
                <c:pt idx="12">
                  <c:v>12-Nov-18</c:v>
                </c:pt>
                <c:pt idx="13">
                  <c:v>13-Nov-18</c:v>
                </c:pt>
                <c:pt idx="14">
                  <c:v>14-Nov-18</c:v>
                </c:pt>
              </c:strCache>
            </c:strRef>
          </c:cat>
          <c:val>
            <c:numRef>
              <c:f>'Final Data'!$B$3:$P$3</c:f>
              <c:numCache>
                <c:formatCode>0</c:formatCode>
                <c:ptCount val="15"/>
                <c:pt idx="0">
                  <c:v>100</c:v>
                </c:pt>
                <c:pt idx="1">
                  <c:v>60</c:v>
                </c:pt>
                <c:pt idx="2">
                  <c:v>25</c:v>
                </c:pt>
                <c:pt idx="3">
                  <c:v>20</c:v>
                </c:pt>
                <c:pt idx="4">
                  <c:v>15</c:v>
                </c:pt>
                <c:pt idx="5">
                  <c:v>5</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8618-43D8-98CA-C2C1947CD65F}"/>
            </c:ext>
          </c:extLst>
        </c:ser>
        <c:dLbls>
          <c:showLegendKey val="0"/>
          <c:showVal val="0"/>
          <c:showCatName val="0"/>
          <c:showSerName val="0"/>
          <c:showPercent val="0"/>
          <c:showBubbleSize val="0"/>
        </c:dLbls>
        <c:gapWidth val="150"/>
        <c:axId val="467270808"/>
        <c:axId val="157314904"/>
      </c:barChart>
      <c:catAx>
        <c:axId val="46727080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5400000" spcFirstLastPara="1" vertOverflow="ellipsis"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7314904"/>
        <c:crosses val="autoZero"/>
        <c:auto val="1"/>
        <c:lblAlgn val="ctr"/>
        <c:lblOffset val="100"/>
        <c:noMultiLvlLbl val="0"/>
      </c:catAx>
      <c:valAx>
        <c:axId val="1573149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46727080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rgbClr val="C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37235</xdr:rowOff>
    </xdr:from>
    <xdr:to>
      <xdr:col>9</xdr:col>
      <xdr:colOff>571500</xdr:colOff>
      <xdr:row>22</xdr:row>
      <xdr:rowOff>8660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0</xdr:row>
      <xdr:rowOff>0</xdr:rowOff>
    </xdr:from>
    <xdr:to>
      <xdr:col>18</xdr:col>
      <xdr:colOff>590550</xdr:colOff>
      <xdr:row>2</xdr:row>
      <xdr:rowOff>114300</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096250" y="0"/>
          <a:ext cx="4248150" cy="495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You can customize</a:t>
          </a:r>
          <a:r>
            <a:rPr lang="en-US" sz="1100" b="1" baseline="0"/>
            <a:t> your Legend. For example, Planned Effort can be Planned Burndown, Planned Stories.....</a:t>
          </a:r>
          <a:endParaRPr lang="en-US" sz="1100" b="1"/>
        </a:p>
      </xdr:txBody>
    </xdr:sp>
    <xdr:clientData/>
  </xdr:twoCellAnchor>
  <xdr:twoCellAnchor>
    <xdr:from>
      <xdr:col>0</xdr:col>
      <xdr:colOff>0</xdr:colOff>
      <xdr:row>23</xdr:row>
      <xdr:rowOff>19916</xdr:rowOff>
    </xdr:from>
    <xdr:to>
      <xdr:col>10</xdr:col>
      <xdr:colOff>0</xdr:colOff>
      <xdr:row>41</xdr:row>
      <xdr:rowOff>181841</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3</xdr:row>
      <xdr:rowOff>34636</xdr:rowOff>
    </xdr:from>
    <xdr:to>
      <xdr:col>19</xdr:col>
      <xdr:colOff>225136</xdr:colOff>
      <xdr:row>22</xdr:row>
      <xdr:rowOff>0</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14969</xdr:colOff>
      <xdr:row>23</xdr:row>
      <xdr:rowOff>35502</xdr:rowOff>
    </xdr:from>
    <xdr:to>
      <xdr:col>19</xdr:col>
      <xdr:colOff>234913</xdr:colOff>
      <xdr:row>42</xdr:row>
      <xdr:rowOff>6927</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123825</xdr:rowOff>
        </xdr:from>
        <xdr:to>
          <xdr:col>1</xdr:col>
          <xdr:colOff>838200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Clear Old Data</a:t>
              </a:r>
              <a:endParaRPr lang="en-US" sz="1100" b="0" i="0" u="none" strike="noStrike" baseline="0">
                <a:solidFill>
                  <a:srgbClr val="000000"/>
                </a:solidFill>
                <a:latin typeface="Calibri"/>
                <a:cs typeface="Calibri"/>
              </a:endParaRPr>
            </a:p>
            <a:p>
              <a:pPr algn="ctr" rtl="0">
                <a:defRPr sz="1000"/>
              </a:pPr>
              <a:r>
                <a:rPr lang="en-US" sz="11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L3"/>
  <sheetViews>
    <sheetView tabSelected="1" zoomScale="85" zoomScaleNormal="85" workbookViewId="0">
      <selection activeCell="V24" sqref="V24"/>
    </sheetView>
  </sheetViews>
  <sheetFormatPr defaultRowHeight="15" x14ac:dyDescent="0.25"/>
  <cols>
    <col min="11" max="11" width="2.5703125" customWidth="1"/>
    <col min="12" max="12" width="20.85546875" bestFit="1" customWidth="1"/>
  </cols>
  <sheetData>
    <row r="1" spans="4:12" x14ac:dyDescent="0.25">
      <c r="D1" s="13" t="s">
        <v>4</v>
      </c>
      <c r="E1" s="14"/>
      <c r="F1" s="14"/>
      <c r="G1" s="14"/>
      <c r="H1" s="14"/>
      <c r="I1" s="14"/>
      <c r="J1" s="15"/>
      <c r="L1" s="9" t="s">
        <v>7</v>
      </c>
    </row>
    <row r="2" spans="4:12" x14ac:dyDescent="0.25">
      <c r="D2" s="14"/>
      <c r="E2" s="14"/>
      <c r="F2" s="14"/>
      <c r="G2" s="14"/>
      <c r="H2" s="14"/>
      <c r="I2" s="14"/>
      <c r="J2" s="15"/>
      <c r="L2" s="1" t="s">
        <v>0</v>
      </c>
    </row>
    <row r="3" spans="4:12" x14ac:dyDescent="0.25">
      <c r="L3" s="1" t="s">
        <v>2</v>
      </c>
    </row>
  </sheetData>
  <mergeCells count="1">
    <mergeCell ref="D1: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J203"/>
  <sheetViews>
    <sheetView zoomScale="85" zoomScaleNormal="85" workbookViewId="0">
      <pane ySplit="2" topLeftCell="A3" activePane="bottomLeft" state="frozen"/>
      <selection pane="bottomLeft" activeCell="F12" sqref="F12"/>
    </sheetView>
  </sheetViews>
  <sheetFormatPr defaultColWidth="0" defaultRowHeight="15" zeroHeight="1" x14ac:dyDescent="0.25"/>
  <cols>
    <col min="1" max="1" width="51.7109375" customWidth="1"/>
    <col min="2" max="2" width="13.85546875" customWidth="1"/>
    <col min="3" max="11" width="9.140625" customWidth="1"/>
    <col min="12" max="12" width="12.28515625" customWidth="1"/>
    <col min="13" max="13" width="11.140625" customWidth="1"/>
    <col min="14" max="14" width="11.7109375" customWidth="1"/>
    <col min="15" max="16" width="11.140625" customWidth="1"/>
    <col min="17" max="62" width="9.140625" customWidth="1"/>
    <col min="63" max="16384" width="9.140625" hidden="1"/>
  </cols>
  <sheetData>
    <row r="1" spans="1:62" ht="49.5" customHeight="1" x14ac:dyDescent="0.25">
      <c r="C1" s="16" t="s">
        <v>9</v>
      </c>
      <c r="D1" s="16"/>
      <c r="E1" s="16"/>
      <c r="F1" s="16"/>
      <c r="G1" s="16"/>
      <c r="H1" s="16"/>
      <c r="I1" s="16"/>
      <c r="J1" s="16"/>
      <c r="K1" s="16"/>
      <c r="L1" s="16"/>
      <c r="M1" s="16"/>
      <c r="N1" s="17" t="s">
        <v>10</v>
      </c>
      <c r="O1" s="18"/>
      <c r="P1" s="18"/>
      <c r="Q1" s="18"/>
      <c r="R1" s="18"/>
      <c r="S1" s="18"/>
      <c r="T1" s="15"/>
    </row>
    <row r="2" spans="1:62" s="1" customFormat="1" ht="40.5" customHeight="1" thickBot="1" x14ac:dyDescent="0.3">
      <c r="A2" s="11" t="s">
        <v>8</v>
      </c>
      <c r="B2" s="11" t="str">
        <f>IF('Burndown Chart'!$L$2="","Planned Effort",'Burndown Chart'!$L$2)</f>
        <v>Planned Effort</v>
      </c>
      <c r="C2" s="12">
        <v>43405</v>
      </c>
      <c r="D2" s="12">
        <v>43406</v>
      </c>
      <c r="E2" s="12">
        <v>43407</v>
      </c>
      <c r="F2" s="12">
        <v>43408</v>
      </c>
      <c r="G2" s="12">
        <v>43409</v>
      </c>
      <c r="H2" s="12">
        <v>43410</v>
      </c>
      <c r="I2" s="12">
        <v>43411</v>
      </c>
      <c r="J2" s="12">
        <v>43412</v>
      </c>
      <c r="K2" s="12">
        <v>43413</v>
      </c>
      <c r="L2" s="12">
        <v>43414</v>
      </c>
      <c r="M2" s="12">
        <v>43415</v>
      </c>
      <c r="N2" s="12">
        <v>43416</v>
      </c>
      <c r="O2" s="12">
        <v>43417</v>
      </c>
      <c r="P2" s="12">
        <v>43418</v>
      </c>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row>
    <row r="3" spans="1:62" ht="26.25" thickBot="1" x14ac:dyDescent="0.3">
      <c r="A3" s="19" t="s">
        <v>11</v>
      </c>
      <c r="B3">
        <v>20</v>
      </c>
      <c r="C3" s="3">
        <v>10</v>
      </c>
      <c r="D3" s="3">
        <v>0</v>
      </c>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c r="BA3" s="3"/>
      <c r="BB3" s="3"/>
      <c r="BC3" s="3"/>
      <c r="BD3" s="3"/>
      <c r="BE3" s="3"/>
      <c r="BF3" s="3"/>
      <c r="BG3" s="3"/>
      <c r="BH3" s="3"/>
      <c r="BI3" s="3"/>
      <c r="BJ3" s="3"/>
    </row>
    <row r="4" spans="1:62" ht="26.25" thickBot="1" x14ac:dyDescent="0.3">
      <c r="A4" s="20" t="s">
        <v>14</v>
      </c>
      <c r="B4">
        <v>20</v>
      </c>
      <c r="C4" s="3">
        <v>10</v>
      </c>
      <c r="D4" s="3">
        <v>0</v>
      </c>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row>
    <row r="5" spans="1:62" ht="39" thickBot="1" x14ac:dyDescent="0.3">
      <c r="A5" s="20" t="s">
        <v>12</v>
      </c>
      <c r="B5">
        <v>20</v>
      </c>
      <c r="C5" s="3">
        <v>10</v>
      </c>
      <c r="D5" s="3">
        <v>0</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row>
    <row r="6" spans="1:62" ht="26.25" thickBot="1" x14ac:dyDescent="0.3">
      <c r="A6" s="20" t="s">
        <v>13</v>
      </c>
      <c r="B6">
        <v>20</v>
      </c>
      <c r="C6" s="3">
        <v>20</v>
      </c>
      <c r="D6" s="3">
        <v>20</v>
      </c>
      <c r="E6" s="3">
        <v>20</v>
      </c>
      <c r="F6" s="3">
        <v>15</v>
      </c>
      <c r="G6" s="3">
        <v>5</v>
      </c>
      <c r="H6" s="3">
        <v>0</v>
      </c>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row>
    <row r="7" spans="1:62" ht="26.25" thickBot="1" x14ac:dyDescent="0.3">
      <c r="A7" s="20" t="s">
        <v>15</v>
      </c>
      <c r="B7">
        <v>20</v>
      </c>
      <c r="C7" s="3">
        <v>10</v>
      </c>
      <c r="D7" s="3">
        <v>5</v>
      </c>
      <c r="E7" s="3">
        <v>0</v>
      </c>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5">
      <c r="A8" s="10"/>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s="10"/>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5">
      <c r="A10" s="10"/>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A11" s="10"/>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s="10"/>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A13" s="10"/>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s="10"/>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A15" s="10"/>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A16" s="10"/>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5">
      <c r="A17" s="10"/>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5">
      <c r="A18" s="10"/>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5">
      <c r="A19" s="10"/>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5">
      <c r="A20" s="10"/>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s="10"/>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s="10"/>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s="10"/>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3:62" x14ac:dyDescent="0.25">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3:62" x14ac:dyDescent="0.25">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3:62" x14ac:dyDescent="0.25">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3:62" x14ac:dyDescent="0.25">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3:62" x14ac:dyDescent="0.25">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3:62" x14ac:dyDescent="0.25">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3:62" x14ac:dyDescent="0.25">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3:62" x14ac:dyDescent="0.25">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3:62" x14ac:dyDescent="0.25">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3:62" x14ac:dyDescent="0.25">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3:62" x14ac:dyDescent="0.25">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3:62" x14ac:dyDescent="0.25">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3:62" x14ac:dyDescent="0.25">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3:62" x14ac:dyDescent="0.25">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3:62" x14ac:dyDescent="0.25">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3:62" x14ac:dyDescent="0.25">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3:62" x14ac:dyDescent="0.25">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3:62" x14ac:dyDescent="0.25">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3:62" x14ac:dyDescent="0.25">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3:62" x14ac:dyDescent="0.25">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3:62" x14ac:dyDescent="0.25">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3:62" x14ac:dyDescent="0.25">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3:62" x14ac:dyDescent="0.25">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3:62" x14ac:dyDescent="0.25">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3:62" x14ac:dyDescent="0.25">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3:62" x14ac:dyDescent="0.25">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3:62" x14ac:dyDescent="0.25">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3:62" x14ac:dyDescent="0.25">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3:62" x14ac:dyDescent="0.25">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3:62" x14ac:dyDescent="0.25">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3:62" x14ac:dyDescent="0.25">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3:62" x14ac:dyDescent="0.25">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3:62" x14ac:dyDescent="0.25">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3:62" x14ac:dyDescent="0.2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3:62" x14ac:dyDescent="0.25">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3:62" x14ac:dyDescent="0.25">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3:62" x14ac:dyDescent="0.25">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3:62" x14ac:dyDescent="0.25">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3:62" x14ac:dyDescent="0.25">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3:62" x14ac:dyDescent="0.25">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3:62" x14ac:dyDescent="0.25">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3:62" x14ac:dyDescent="0.25">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3:62" x14ac:dyDescent="0.25">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3:62" x14ac:dyDescent="0.25">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3:62" x14ac:dyDescent="0.25">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3:62" x14ac:dyDescent="0.25">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3:62" x14ac:dyDescent="0.25">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3:62" x14ac:dyDescent="0.25">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3:62" x14ac:dyDescent="0.25">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3:62" x14ac:dyDescent="0.25">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3:62" x14ac:dyDescent="0.25">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3:62" x14ac:dyDescent="0.25">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3:62" x14ac:dyDescent="0.25">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3:62" x14ac:dyDescent="0.25">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3:62" x14ac:dyDescent="0.25">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3:62" x14ac:dyDescent="0.25">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row>
    <row r="89" spans="3:62" x14ac:dyDescent="0.25">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3:62" x14ac:dyDescent="0.25">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row>
    <row r="91" spans="3:62" x14ac:dyDescent="0.25">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3:62" x14ac:dyDescent="0.25">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row>
    <row r="93" spans="3:62" x14ac:dyDescent="0.25">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3:62" x14ac:dyDescent="0.25">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3:62" x14ac:dyDescent="0.25">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3:62" x14ac:dyDescent="0.25">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3:62" x14ac:dyDescent="0.25">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3:62" x14ac:dyDescent="0.25">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3:62" x14ac:dyDescent="0.25">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3:62" x14ac:dyDescent="0.25">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3:62" x14ac:dyDescent="0.25">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3:62" x14ac:dyDescent="0.25">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3:62" x14ac:dyDescent="0.25">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3:62" x14ac:dyDescent="0.25">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3:62" x14ac:dyDescent="0.25">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3:62" x14ac:dyDescent="0.25">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3:62" x14ac:dyDescent="0.25">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3:62" x14ac:dyDescent="0.25">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3:62" x14ac:dyDescent="0.25">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3:62" x14ac:dyDescent="0.25">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3:62" x14ac:dyDescent="0.25">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3:62" x14ac:dyDescent="0.25">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3:62" x14ac:dyDescent="0.25">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3:62" x14ac:dyDescent="0.25">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3:62" x14ac:dyDescent="0.25">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3:62" x14ac:dyDescent="0.25">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3:62" x14ac:dyDescent="0.25">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row r="118" spans="3:62" x14ac:dyDescent="0.25">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row>
    <row r="119" spans="3:62" x14ac:dyDescent="0.25">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row>
    <row r="120" spans="3:62" x14ac:dyDescent="0.25">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row>
    <row r="121" spans="3:62" x14ac:dyDescent="0.25">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row>
    <row r="122" spans="3:62" x14ac:dyDescent="0.25">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row>
    <row r="123" spans="3:62" x14ac:dyDescent="0.25">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row>
    <row r="124" spans="3:62" x14ac:dyDescent="0.25">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row>
    <row r="125" spans="3:62" x14ac:dyDescent="0.25">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row>
    <row r="126" spans="3:62" x14ac:dyDescent="0.25">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row>
    <row r="127" spans="3:62" x14ac:dyDescent="0.25">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row>
    <row r="128" spans="3:62" x14ac:dyDescent="0.25">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row>
    <row r="129" spans="3:62" x14ac:dyDescent="0.25">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row>
    <row r="130" spans="3:62" x14ac:dyDescent="0.25">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row>
    <row r="131" spans="3:62" x14ac:dyDescent="0.25">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row>
    <row r="132" spans="3:62" x14ac:dyDescent="0.25">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row>
    <row r="133" spans="3:62" x14ac:dyDescent="0.25">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row>
    <row r="134" spans="3:62" x14ac:dyDescent="0.25">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row>
    <row r="135" spans="3:62" x14ac:dyDescent="0.25">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row>
    <row r="136" spans="3:62" x14ac:dyDescent="0.25">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row>
    <row r="137" spans="3:62" x14ac:dyDescent="0.25">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row>
    <row r="138" spans="3:62" x14ac:dyDescent="0.25">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row>
    <row r="139" spans="3:62" x14ac:dyDescent="0.25">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row>
    <row r="140" spans="3:62" x14ac:dyDescent="0.25">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row>
    <row r="141" spans="3:62" x14ac:dyDescent="0.25">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row>
    <row r="142" spans="3:62" x14ac:dyDescent="0.25">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row>
    <row r="143" spans="3:62" x14ac:dyDescent="0.25">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row>
    <row r="144" spans="3:62" x14ac:dyDescent="0.25">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row>
    <row r="145" spans="3:62" x14ac:dyDescent="0.25">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row>
    <row r="146" spans="3:62" x14ac:dyDescent="0.25">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row>
    <row r="147" spans="3:62" x14ac:dyDescent="0.25">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row>
    <row r="148" spans="3:62" x14ac:dyDescent="0.25">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row>
    <row r="149" spans="3:62" x14ac:dyDescent="0.25">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row>
    <row r="150" spans="3:62" x14ac:dyDescent="0.25">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row>
    <row r="151" spans="3:62" x14ac:dyDescent="0.25">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row>
    <row r="152" spans="3:62" x14ac:dyDescent="0.25">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row>
    <row r="153" spans="3:62" x14ac:dyDescent="0.25">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row>
    <row r="154" spans="3:62" x14ac:dyDescent="0.25">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row>
    <row r="155" spans="3:62" x14ac:dyDescent="0.25">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row>
    <row r="156" spans="3:62" x14ac:dyDescent="0.25">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row>
    <row r="157" spans="3:62" x14ac:dyDescent="0.25">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row>
    <row r="158" spans="3:62" x14ac:dyDescent="0.25">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row>
    <row r="159" spans="3:62" x14ac:dyDescent="0.25">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row>
    <row r="160" spans="3:62" x14ac:dyDescent="0.25">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row>
    <row r="161" spans="3:62" x14ac:dyDescent="0.25">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row>
    <row r="162" spans="3:62" x14ac:dyDescent="0.25">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row>
    <row r="163" spans="3:62" x14ac:dyDescent="0.25">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row>
    <row r="164" spans="3:62" x14ac:dyDescent="0.25">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row>
    <row r="165" spans="3:62" x14ac:dyDescent="0.25">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row>
    <row r="166" spans="3:62" x14ac:dyDescent="0.25">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row>
    <row r="167" spans="3:62" x14ac:dyDescent="0.25">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row>
    <row r="168" spans="3:62" x14ac:dyDescent="0.25">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row>
    <row r="169" spans="3:62" x14ac:dyDescent="0.25">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row>
    <row r="170" spans="3:62" x14ac:dyDescent="0.25">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row>
    <row r="171" spans="3:62" x14ac:dyDescent="0.25">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row>
    <row r="172" spans="3:62" x14ac:dyDescent="0.25">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row>
    <row r="173" spans="3:62" x14ac:dyDescent="0.25">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row>
    <row r="174" spans="3:62" x14ac:dyDescent="0.25">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row>
    <row r="175" spans="3:62" x14ac:dyDescent="0.25">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row>
    <row r="176" spans="3:62" x14ac:dyDescent="0.25">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row>
    <row r="177" spans="3:62" x14ac:dyDescent="0.25">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row>
    <row r="178" spans="3:62" x14ac:dyDescent="0.25">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row>
    <row r="179" spans="3:62" x14ac:dyDescent="0.25">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row>
    <row r="180" spans="3:62" x14ac:dyDescent="0.25">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row>
    <row r="181" spans="3:62" x14ac:dyDescent="0.25">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row>
    <row r="182" spans="3:62" x14ac:dyDescent="0.25">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row>
    <row r="183" spans="3:62" x14ac:dyDescent="0.25">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row>
    <row r="184" spans="3:62" x14ac:dyDescent="0.25">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row>
    <row r="185" spans="3:62" x14ac:dyDescent="0.25">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row>
    <row r="186" spans="3:62" x14ac:dyDescent="0.25">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row>
    <row r="187" spans="3:62" x14ac:dyDescent="0.25">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row>
    <row r="188" spans="3:62" x14ac:dyDescent="0.25">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row>
    <row r="189" spans="3:62" x14ac:dyDescent="0.25">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row>
    <row r="190" spans="3:62" x14ac:dyDescent="0.25">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row>
    <row r="191" spans="3:62" x14ac:dyDescent="0.25">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row>
    <row r="192" spans="3:62" x14ac:dyDescent="0.25">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row>
    <row r="193" spans="3:62" x14ac:dyDescent="0.25">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row>
    <row r="194" spans="3:62" x14ac:dyDescent="0.25">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row>
    <row r="195" spans="3:62" x14ac:dyDescent="0.25">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row>
    <row r="196" spans="3:62" x14ac:dyDescent="0.25">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row>
    <row r="197" spans="3:62" x14ac:dyDescent="0.25">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row>
    <row r="198" spans="3:62" x14ac:dyDescent="0.25">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row>
    <row r="199" spans="3:62" x14ac:dyDescent="0.25">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row>
    <row r="200" spans="3:62" x14ac:dyDescent="0.25">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row>
    <row r="201" spans="3:62" x14ac:dyDescent="0.25">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row>
    <row r="202" spans="3:62" x14ac:dyDescent="0.25">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row>
    <row r="203" spans="3:62" hidden="1" x14ac:dyDescent="0.25"/>
  </sheetData>
  <mergeCells count="2">
    <mergeCell ref="C1:M1"/>
    <mergeCell ref="N1:T1"/>
  </mergeCells>
  <conditionalFormatting sqref="Q2:BJ2">
    <cfRule type="expression" dxfId="1" priority="2">
      <formula>AND(Q$2&lt;&gt;"",WEEKDAY(Q$2,2)&gt;5)</formula>
    </cfRule>
  </conditionalFormatting>
  <conditionalFormatting sqref="C2:P2">
    <cfRule type="expression" dxfId="0" priority="1">
      <formula>AND(C$2&lt;&gt;"",WEEKDAY(C$2,2)&gt;5)</formula>
    </cfRule>
  </conditionalFormatting>
  <dataValidations count="3">
    <dataValidation type="date" allowBlank="1" showInputMessage="1" showErrorMessage="1" errorTitle="Erorr in the Date Entry" error="Only a valid date between 1-Jan-2015 to 31-Dec-9999 is permitted" promptTitle="Date Entry" prompt="Enter a valid date between 1-Jan-2015 to 31-Dec-9999." sqref="C2:BJ2" xr:uid="{00000000-0002-0000-0100-000000000000}">
      <formula1>42005</formula1>
      <formula2>2958465</formula2>
    </dataValidation>
    <dataValidation type="decimal" operator="greaterThanOrEqual" allowBlank="1" showInputMessage="1" showErrorMessage="1" errorTitle="Entry Error" error="Planned Effort Should be &gt;=0" sqref="B3:B202" xr:uid="{00000000-0002-0000-0100-000001000000}">
      <formula1>0</formula1>
    </dataValidation>
    <dataValidation type="custom" showInputMessage="1" showErrorMessage="1" errorTitle="Input Error" error="Read the Validations Rules to Input Right Data" sqref="C3:BJ202" xr:uid="{00000000-0002-0000-0100-000002000000}">
      <formula1>AND(C3&lt;=B3,C3&gt;=0)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PreviousData">
                <anchor moveWithCells="1" sizeWithCells="1">
                  <from>
                    <xdr:col>0</xdr:col>
                    <xdr:colOff>76200</xdr:colOff>
                    <xdr:row>0</xdr:row>
                    <xdr:rowOff>123825</xdr:rowOff>
                  </from>
                  <to>
                    <xdr:col>1</xdr:col>
                    <xdr:colOff>838200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14"/>
  <sheetViews>
    <sheetView workbookViewId="0">
      <selection activeCell="A2" sqref="A2"/>
    </sheetView>
  </sheetViews>
  <sheetFormatPr defaultColWidth="0" defaultRowHeight="15" x14ac:dyDescent="0.25"/>
  <cols>
    <col min="1" max="1" width="16" style="1" bestFit="1" customWidth="1"/>
    <col min="2" max="2" width="9.42578125" style="2" customWidth="1"/>
    <col min="3" max="62" width="9.140625" customWidth="1"/>
    <col min="63" max="16384" width="9.140625" hidden="1"/>
  </cols>
  <sheetData>
    <row r="1" spans="1:62" s="1" customFormat="1" x14ac:dyDescent="0.25">
      <c r="A1" s="1" t="s">
        <v>1</v>
      </c>
      <c r="B1" s="1" t="s">
        <v>3</v>
      </c>
      <c r="C1" s="8">
        <f>IF(Input!C$2="","",Input!C$2)</f>
        <v>43405</v>
      </c>
      <c r="D1" s="8">
        <f>IF(Input!D$2="","",Input!D$2)</f>
        <v>43406</v>
      </c>
      <c r="E1" s="8">
        <f>IF(Input!E$2="","",Input!E$2)</f>
        <v>43407</v>
      </c>
      <c r="F1" s="8">
        <f>IF(Input!F$2="","",Input!F$2)</f>
        <v>43408</v>
      </c>
      <c r="G1" s="8">
        <f>IF(Input!G$2="","",Input!G$2)</f>
        <v>43409</v>
      </c>
      <c r="H1" s="8">
        <f>IF(Input!H$2="","",Input!H$2)</f>
        <v>43410</v>
      </c>
      <c r="I1" s="8">
        <f>IF(Input!I$2="","",Input!I$2)</f>
        <v>43411</v>
      </c>
      <c r="J1" s="8">
        <f>IF(Input!J$2="","",Input!J$2)</f>
        <v>43412</v>
      </c>
      <c r="K1" s="8">
        <f>IF(Input!K$2="","",Input!K$2)</f>
        <v>43413</v>
      </c>
      <c r="L1" s="8">
        <f>IF(Input!L$2="","",Input!L$2)</f>
        <v>43414</v>
      </c>
      <c r="M1" s="8">
        <f>IF(Input!M$2="","",Input!M$2)</f>
        <v>43415</v>
      </c>
      <c r="N1" s="8">
        <f>IF(Input!N$2="","",Input!N$2)</f>
        <v>43416</v>
      </c>
      <c r="O1" s="8">
        <f>IF(Input!O$2="","",Input!O$2)</f>
        <v>43417</v>
      </c>
      <c r="P1" s="8">
        <f>IF(Input!P$2="","",Input!P$2)</f>
        <v>43418</v>
      </c>
      <c r="Q1" s="8" t="str">
        <f>IF(Input!Q$2="","",Input!Q$2)</f>
        <v/>
      </c>
      <c r="R1" s="8" t="str">
        <f>IF(Input!R$2="","",Input!R$2)</f>
        <v/>
      </c>
      <c r="S1" s="8" t="str">
        <f>IF(Input!S$2="","",Input!S$2)</f>
        <v/>
      </c>
      <c r="T1" s="8" t="str">
        <f>IF(Input!T$2="","",Input!T$2)</f>
        <v/>
      </c>
      <c r="U1" s="8" t="str">
        <f>IF(Input!U$2="","",Input!U$2)</f>
        <v/>
      </c>
      <c r="V1" s="8" t="str">
        <f>IF(Input!V$2="","",Input!V$2)</f>
        <v/>
      </c>
      <c r="W1" s="8" t="str">
        <f>IF(Input!W$2="","",Input!W$2)</f>
        <v/>
      </c>
      <c r="X1" s="8" t="str">
        <f>IF(Input!X$2="","",Input!X$2)</f>
        <v/>
      </c>
      <c r="Y1" s="8" t="str">
        <f>IF(Input!Y$2="","",Input!Y$2)</f>
        <v/>
      </c>
      <c r="Z1" s="8" t="str">
        <f>IF(Input!Z$2="","",Input!Z$2)</f>
        <v/>
      </c>
      <c r="AA1" s="8" t="str">
        <f>IF(Input!AA$2="","",Input!AA$2)</f>
        <v/>
      </c>
      <c r="AB1" s="8" t="str">
        <f>IF(Input!AB$2="","",Input!AB$2)</f>
        <v/>
      </c>
      <c r="AC1" s="8" t="str">
        <f>IF(Input!AC$2="","",Input!AC$2)</f>
        <v/>
      </c>
      <c r="AD1" s="8" t="str">
        <f>IF(Input!AD$2="","",Input!AD$2)</f>
        <v/>
      </c>
      <c r="AE1" s="8" t="str">
        <f>IF(Input!AE$2="","",Input!AE$2)</f>
        <v/>
      </c>
      <c r="AF1" s="8" t="str">
        <f>IF(Input!AF$2="","",Input!AF$2)</f>
        <v/>
      </c>
      <c r="AG1" s="8" t="str">
        <f>IF(Input!AG$2="","",Input!AG$2)</f>
        <v/>
      </c>
      <c r="AH1" s="8" t="str">
        <f>IF(Input!AH$2="","",Input!AH$2)</f>
        <v/>
      </c>
      <c r="AI1" s="8" t="str">
        <f>IF(Input!AI$2="","",Input!AI$2)</f>
        <v/>
      </c>
      <c r="AJ1" s="8" t="str">
        <f>IF(Input!AJ$2="","",Input!AJ$2)</f>
        <v/>
      </c>
      <c r="AK1" s="8" t="str">
        <f>IF(Input!AK$2="","",Input!AK$2)</f>
        <v/>
      </c>
      <c r="AL1" s="8" t="str">
        <f>IF(Input!AL$2="","",Input!AL$2)</f>
        <v/>
      </c>
      <c r="AM1" s="8" t="str">
        <f>IF(Input!AM$2="","",Input!AM$2)</f>
        <v/>
      </c>
      <c r="AN1" s="8" t="str">
        <f>IF(Input!AN$2="","",Input!AN$2)</f>
        <v/>
      </c>
      <c r="AO1" s="8" t="str">
        <f>IF(Input!AO$2="","",Input!AO$2)</f>
        <v/>
      </c>
      <c r="AP1" s="8" t="str">
        <f>IF(Input!AP$2="","",Input!AP$2)</f>
        <v/>
      </c>
      <c r="AQ1" s="8" t="str">
        <f>IF(Input!AQ$2="","",Input!AQ$2)</f>
        <v/>
      </c>
      <c r="AR1" s="8" t="str">
        <f>IF(Input!AR$2="","",Input!AR$2)</f>
        <v/>
      </c>
      <c r="AS1" s="8" t="str">
        <f>IF(Input!AS$2="","",Input!AS$2)</f>
        <v/>
      </c>
      <c r="AT1" s="8" t="str">
        <f>IF(Input!AT$2="","",Input!AT$2)</f>
        <v/>
      </c>
      <c r="AU1" s="8" t="str">
        <f>IF(Input!AU$2="","",Input!AU$2)</f>
        <v/>
      </c>
      <c r="AV1" s="8" t="str">
        <f>IF(Input!AV$2="","",Input!AV$2)</f>
        <v/>
      </c>
      <c r="AW1" s="8" t="str">
        <f>IF(Input!AW$2="","",Input!AW$2)</f>
        <v/>
      </c>
      <c r="AX1" s="8" t="str">
        <f>IF(Input!AX$2="","",Input!AX$2)</f>
        <v/>
      </c>
      <c r="AY1" s="8" t="str">
        <f>IF(Input!AY$2="","",Input!AY$2)</f>
        <v/>
      </c>
      <c r="AZ1" s="8" t="str">
        <f>IF(Input!AZ$2="","",Input!AZ$2)</f>
        <v/>
      </c>
      <c r="BA1" s="8" t="str">
        <f>IF(Input!BA$2="","",Input!BA$2)</f>
        <v/>
      </c>
      <c r="BB1" s="8" t="str">
        <f>IF(Input!BB$2="","",Input!BB$2)</f>
        <v/>
      </c>
      <c r="BC1" s="8" t="str">
        <f>IF(Input!BC$2="","",Input!BC$2)</f>
        <v/>
      </c>
      <c r="BD1" s="8" t="str">
        <f>IF(Input!BD$2="","",Input!BD$2)</f>
        <v/>
      </c>
      <c r="BE1" s="8" t="str">
        <f>IF(Input!BE$2="","",Input!BE$2)</f>
        <v/>
      </c>
      <c r="BF1" s="8" t="str">
        <f>IF(Input!BF$2="","",Input!BF$2)</f>
        <v/>
      </c>
      <c r="BG1" s="8" t="str">
        <f>IF(Input!BG$2="","",Input!BG$2)</f>
        <v/>
      </c>
      <c r="BH1" s="8" t="str">
        <f>IF(Input!BH$2="","",Input!BH$2)</f>
        <v/>
      </c>
      <c r="BI1" s="8" t="str">
        <f>IF(Input!BI$2="","",Input!BI$2)</f>
        <v/>
      </c>
      <c r="BJ1" s="8" t="str">
        <f>IF(Input!BJ$2="","",Input!BJ$2)</f>
        <v/>
      </c>
    </row>
    <row r="2" spans="1:62" s="4" customFormat="1" x14ac:dyDescent="0.25">
      <c r="A2" s="6" t="str">
        <f>IF('Burndown Chart'!$L$2="","Planned Effort",'Burndown Chart'!$L$2)</f>
        <v>Planned Effort</v>
      </c>
      <c r="B2" s="7">
        <f>SUM(Input!$B$3:$B$202)</f>
        <v>100</v>
      </c>
      <c r="C2" s="4">
        <f t="shared" ref="C2:AH2" si="0">IF(C$1="","",B$2-$B$2/(SUMPRODUCT(--($C$1:$BJ$1&lt;&gt;""))))</f>
        <v>92.857142857142861</v>
      </c>
      <c r="D2" s="4">
        <f t="shared" si="0"/>
        <v>85.714285714285722</v>
      </c>
      <c r="E2" s="4">
        <f t="shared" si="0"/>
        <v>78.571428571428584</v>
      </c>
      <c r="F2" s="4">
        <f t="shared" si="0"/>
        <v>71.428571428571445</v>
      </c>
      <c r="G2" s="4">
        <f t="shared" si="0"/>
        <v>64.285714285714306</v>
      </c>
      <c r="H2" s="4">
        <f t="shared" si="0"/>
        <v>57.14285714285716</v>
      </c>
      <c r="I2" s="4">
        <f t="shared" si="0"/>
        <v>50.000000000000014</v>
      </c>
      <c r="J2" s="4">
        <f t="shared" si="0"/>
        <v>42.857142857142868</v>
      </c>
      <c r="K2" s="4">
        <f t="shared" si="0"/>
        <v>35.714285714285722</v>
      </c>
      <c r="L2" s="4">
        <f t="shared" si="0"/>
        <v>28.57142857142858</v>
      </c>
      <c r="M2" s="4">
        <f t="shared" si="0"/>
        <v>21.428571428571438</v>
      </c>
      <c r="N2" s="4">
        <f t="shared" si="0"/>
        <v>14.285714285714295</v>
      </c>
      <c r="O2" s="4">
        <f t="shared" si="0"/>
        <v>7.1428571428571521</v>
      </c>
      <c r="P2" s="4">
        <f t="shared" si="0"/>
        <v>8.8817841970012523E-15</v>
      </c>
      <c r="Q2" s="4" t="str">
        <f t="shared" si="0"/>
        <v/>
      </c>
      <c r="R2" s="4" t="str">
        <f t="shared" si="0"/>
        <v/>
      </c>
      <c r="S2" s="4" t="str">
        <f t="shared" si="0"/>
        <v/>
      </c>
      <c r="T2" s="4" t="str">
        <f t="shared" si="0"/>
        <v/>
      </c>
      <c r="U2" s="4" t="str">
        <f t="shared" si="0"/>
        <v/>
      </c>
      <c r="V2" s="4" t="str">
        <f t="shared" si="0"/>
        <v/>
      </c>
      <c r="W2" s="4" t="str">
        <f t="shared" si="0"/>
        <v/>
      </c>
      <c r="X2" s="4" t="str">
        <f t="shared" si="0"/>
        <v/>
      </c>
      <c r="Y2" s="4" t="str">
        <f t="shared" si="0"/>
        <v/>
      </c>
      <c r="Z2" s="4" t="str">
        <f t="shared" si="0"/>
        <v/>
      </c>
      <c r="AA2" s="4" t="str">
        <f t="shared" si="0"/>
        <v/>
      </c>
      <c r="AB2" s="4" t="str">
        <f t="shared" si="0"/>
        <v/>
      </c>
      <c r="AC2" s="4" t="str">
        <f t="shared" si="0"/>
        <v/>
      </c>
      <c r="AD2" s="4" t="str">
        <f t="shared" si="0"/>
        <v/>
      </c>
      <c r="AE2" s="4" t="str">
        <f t="shared" si="0"/>
        <v/>
      </c>
      <c r="AF2" s="4" t="str">
        <f t="shared" si="0"/>
        <v/>
      </c>
      <c r="AG2" s="4" t="str">
        <f t="shared" si="0"/>
        <v/>
      </c>
      <c r="AH2" s="4" t="str">
        <f t="shared" si="0"/>
        <v/>
      </c>
      <c r="AI2" s="4" t="str">
        <f t="shared" ref="AI2:BJ2" si="1">IF(AI$1="","",AH$2-$B$2/(SUMPRODUCT(--($C$1:$BJ$1&lt;&gt;""))))</f>
        <v/>
      </c>
      <c r="AJ2" s="4" t="str">
        <f t="shared" si="1"/>
        <v/>
      </c>
      <c r="AK2" s="4" t="str">
        <f t="shared" si="1"/>
        <v/>
      </c>
      <c r="AL2" s="4" t="str">
        <f t="shared" si="1"/>
        <v/>
      </c>
      <c r="AM2" s="4" t="str">
        <f t="shared" si="1"/>
        <v/>
      </c>
      <c r="AN2" s="4" t="str">
        <f t="shared" si="1"/>
        <v/>
      </c>
      <c r="AO2" s="4" t="str">
        <f t="shared" si="1"/>
        <v/>
      </c>
      <c r="AP2" s="4" t="str">
        <f t="shared" si="1"/>
        <v/>
      </c>
      <c r="AQ2" s="4" t="str">
        <f t="shared" si="1"/>
        <v/>
      </c>
      <c r="AR2" s="4" t="str">
        <f t="shared" si="1"/>
        <v/>
      </c>
      <c r="AS2" s="4" t="str">
        <f t="shared" si="1"/>
        <v/>
      </c>
      <c r="AT2" s="4" t="str">
        <f t="shared" si="1"/>
        <v/>
      </c>
      <c r="AU2" s="4" t="str">
        <f t="shared" si="1"/>
        <v/>
      </c>
      <c r="AV2" s="4" t="str">
        <f t="shared" si="1"/>
        <v/>
      </c>
      <c r="AW2" s="4" t="str">
        <f t="shared" si="1"/>
        <v/>
      </c>
      <c r="AX2" s="4" t="str">
        <f t="shared" si="1"/>
        <v/>
      </c>
      <c r="AY2" s="4" t="str">
        <f t="shared" si="1"/>
        <v/>
      </c>
      <c r="AZ2" s="4" t="str">
        <f t="shared" si="1"/>
        <v/>
      </c>
      <c r="BA2" s="4" t="str">
        <f t="shared" si="1"/>
        <v/>
      </c>
      <c r="BB2" s="4" t="str">
        <f t="shared" si="1"/>
        <v/>
      </c>
      <c r="BC2" s="4" t="str">
        <f t="shared" si="1"/>
        <v/>
      </c>
      <c r="BD2" s="4" t="str">
        <f t="shared" si="1"/>
        <v/>
      </c>
      <c r="BE2" s="4" t="str">
        <f t="shared" si="1"/>
        <v/>
      </c>
      <c r="BF2" s="4" t="str">
        <f t="shared" si="1"/>
        <v/>
      </c>
      <c r="BG2" s="4" t="str">
        <f t="shared" si="1"/>
        <v/>
      </c>
      <c r="BH2" s="4" t="str">
        <f t="shared" si="1"/>
        <v/>
      </c>
      <c r="BI2" s="4" t="str">
        <f t="shared" si="1"/>
        <v/>
      </c>
      <c r="BJ2" s="4" t="str">
        <f t="shared" si="1"/>
        <v/>
      </c>
    </row>
    <row r="3" spans="1:62" s="4" customFormat="1" x14ac:dyDescent="0.25">
      <c r="A3" s="6" t="str">
        <f>IF('Burndown Chart'!$L$3="","Hours Remaining",'Burndown Chart'!$L$3)</f>
        <v>Hours Remaining</v>
      </c>
      <c r="B3" s="7">
        <f>SUM(Input!$B$3:$B$202)</f>
        <v>100</v>
      </c>
      <c r="C3" s="4">
        <f>IF(C$1="","",SUM(Input!C$3:C$202))</f>
        <v>60</v>
      </c>
      <c r="D3" s="4">
        <f>IF(D$1="","",SUM(Input!D$3:D$202))</f>
        <v>25</v>
      </c>
      <c r="E3" s="4">
        <f>IF(E$1="","",SUM(Input!E$3:E$202))</f>
        <v>20</v>
      </c>
      <c r="F3" s="4">
        <f>IF(F$1="","",SUM(Input!F$3:F$202))</f>
        <v>15</v>
      </c>
      <c r="G3" s="4">
        <f>IF(G$1="","",SUM(Input!G$3:G$202))</f>
        <v>5</v>
      </c>
      <c r="H3" s="4">
        <f>IF(H$1="","",SUM(Input!H$3:H$202))</f>
        <v>0</v>
      </c>
      <c r="I3" s="4">
        <f>IF(I$1="","",SUM(Input!I$3:I$202))</f>
        <v>0</v>
      </c>
      <c r="J3" s="4">
        <f>IF(J$1="","",SUM(Input!J$3:J$202))</f>
        <v>0</v>
      </c>
      <c r="K3" s="4">
        <f>IF(K$1="","",SUM(Input!K$3:K$202))</f>
        <v>0</v>
      </c>
      <c r="L3" s="4">
        <f>IF(L$1="","",SUM(Input!L$3:L$202))</f>
        <v>0</v>
      </c>
      <c r="M3" s="4">
        <f>IF(M$1="","",SUM(Input!M$3:M$202))</f>
        <v>0</v>
      </c>
      <c r="N3" s="4">
        <f>IF(N$1="","",SUM(Input!N$3:N$202))</f>
        <v>0</v>
      </c>
      <c r="O3" s="4">
        <f>IF(O$1="","",SUM(Input!O$3:O$202))</f>
        <v>0</v>
      </c>
      <c r="P3" s="4">
        <f>IF(P$1="","",SUM(Input!P$3:P$202))</f>
        <v>0</v>
      </c>
      <c r="Q3" s="4" t="str">
        <f>IF(Q$1="","",SUM(Input!Q$3:Q$202))</f>
        <v/>
      </c>
      <c r="R3" s="4" t="str">
        <f>IF(R$1="","",SUM(Input!R$3:R$202))</f>
        <v/>
      </c>
      <c r="S3" s="4" t="str">
        <f>IF(S$1="","",SUM(Input!S$3:S$202))</f>
        <v/>
      </c>
      <c r="T3" s="4" t="str">
        <f>IF(T$1="","",SUM(Input!T$3:T$202))</f>
        <v/>
      </c>
      <c r="U3" s="4" t="str">
        <f>IF(U$1="","",SUM(Input!U$3:U$202))</f>
        <v/>
      </c>
      <c r="V3" s="4" t="str">
        <f>IF(V$1="","",SUM(Input!V$3:V$202))</f>
        <v/>
      </c>
      <c r="W3" s="4" t="str">
        <f>IF(W$1="","",SUM(Input!W$3:W$202))</f>
        <v/>
      </c>
      <c r="X3" s="4" t="str">
        <f>IF(X$1="","",SUM(Input!X$3:X$202))</f>
        <v/>
      </c>
      <c r="Y3" s="4" t="str">
        <f>IF(Y$1="","",SUM(Input!Y$3:Y$202))</f>
        <v/>
      </c>
      <c r="Z3" s="4" t="str">
        <f>IF(Z$1="","",SUM(Input!Z$3:Z$202))</f>
        <v/>
      </c>
      <c r="AA3" s="4" t="str">
        <f>IF(AA$1="","",SUM(Input!AA$3:AA$202))</f>
        <v/>
      </c>
      <c r="AB3" s="4" t="str">
        <f>IF(AB$1="","",SUM(Input!AB$3:AB$202))</f>
        <v/>
      </c>
      <c r="AC3" s="4" t="str">
        <f>IF(AC$1="","",SUM(Input!AC$3:AC$202))</f>
        <v/>
      </c>
      <c r="AD3" s="4" t="str">
        <f>IF(AD$1="","",SUM(Input!AD$3:AD$202))</f>
        <v/>
      </c>
      <c r="AE3" s="4" t="str">
        <f>IF(AE$1="","",SUM(Input!AE$3:AE$202))</f>
        <v/>
      </c>
      <c r="AF3" s="4" t="str">
        <f>IF(AF$1="","",SUM(Input!AF$3:AF$202))</f>
        <v/>
      </c>
      <c r="AG3" s="4" t="str">
        <f>IF(AG$1="","",SUM(Input!AG$3:AG$202))</f>
        <v/>
      </c>
      <c r="AH3" s="4" t="str">
        <f>IF(AH$1="","",SUM(Input!AH$3:AH$202))</f>
        <v/>
      </c>
      <c r="AI3" s="4" t="str">
        <f>IF(AI$1="","",SUM(Input!AI$3:AI$202))</f>
        <v/>
      </c>
      <c r="AJ3" s="4" t="str">
        <f>IF(AJ$1="","",SUM(Input!AJ$3:AJ$202))</f>
        <v/>
      </c>
      <c r="AK3" s="4" t="str">
        <f>IF(AK$1="","",SUM(Input!AK$3:AK$202))</f>
        <v/>
      </c>
      <c r="AL3" s="4" t="str">
        <f>IF(AL$1="","",SUM(Input!AL$3:AL$202))</f>
        <v/>
      </c>
      <c r="AM3" s="4" t="str">
        <f>IF(AM$1="","",SUM(Input!AM$3:AM$202))</f>
        <v/>
      </c>
      <c r="AN3" s="4" t="str">
        <f>IF(AN$1="","",SUM(Input!AN$3:AN$202))</f>
        <v/>
      </c>
      <c r="AO3" s="4" t="str">
        <f>IF(AO$1="","",SUM(Input!AO$3:AO$202))</f>
        <v/>
      </c>
      <c r="AP3" s="4" t="str">
        <f>IF(AP$1="","",SUM(Input!AP$3:AP$202))</f>
        <v/>
      </c>
      <c r="AQ3" s="4" t="str">
        <f>IF(AQ$1="","",SUM(Input!AQ$3:AQ$202))</f>
        <v/>
      </c>
      <c r="AR3" s="4" t="str">
        <f>IF(AR$1="","",SUM(Input!AR$3:AR$202))</f>
        <v/>
      </c>
      <c r="AS3" s="4" t="str">
        <f>IF(AS$1="","",SUM(Input!AS$3:AS$202))</f>
        <v/>
      </c>
      <c r="AT3" s="4" t="str">
        <f>IF(AT$1="","",SUM(Input!AT$3:AT$202))</f>
        <v/>
      </c>
      <c r="AU3" s="4" t="str">
        <f>IF(AU$1="","",SUM(Input!AU$3:AU$202))</f>
        <v/>
      </c>
      <c r="AV3" s="4" t="str">
        <f>IF(AV$1="","",SUM(Input!AV$3:AV$202))</f>
        <v/>
      </c>
      <c r="AW3" s="4" t="str">
        <f>IF(AW$1="","",SUM(Input!AW$3:AW$202))</f>
        <v/>
      </c>
      <c r="AX3" s="4" t="str">
        <f>IF(AX$1="","",SUM(Input!AX$3:AX$202))</f>
        <v/>
      </c>
      <c r="AY3" s="4" t="str">
        <f>IF(AY$1="","",SUM(Input!AY$3:AY$202))</f>
        <v/>
      </c>
      <c r="AZ3" s="4" t="str">
        <f>IF(AZ$1="","",SUM(Input!AZ$3:AZ$202))</f>
        <v/>
      </c>
      <c r="BA3" s="4" t="str">
        <f>IF(BA$1="","",SUM(Input!BA$3:BA$202))</f>
        <v/>
      </c>
      <c r="BB3" s="4" t="str">
        <f>IF(BB$1="","",SUM(Input!BB$3:BB$202))</f>
        <v/>
      </c>
      <c r="BC3" s="4" t="str">
        <f>IF(BC$1="","",SUM(Input!BC$3:BC$202))</f>
        <v/>
      </c>
      <c r="BD3" s="4" t="str">
        <f>IF(BD$1="","",SUM(Input!BD$3:BD$202))</f>
        <v/>
      </c>
      <c r="BE3" s="4" t="str">
        <f>IF(BE$1="","",SUM(Input!BE$3:BE$202))</f>
        <v/>
      </c>
      <c r="BF3" s="4" t="str">
        <f>IF(BF$1="","",SUM(Input!BF$3:BF$202))</f>
        <v/>
      </c>
      <c r="BG3" s="4" t="str">
        <f>IF(BG$1="","",SUM(Input!BG$3:BG$202))</f>
        <v/>
      </c>
      <c r="BH3" s="4" t="str">
        <f>IF(BH$1="","",SUM(Input!BH$3:BH$202))</f>
        <v/>
      </c>
      <c r="BI3" s="4" t="str">
        <f>IF(BI$1="","",SUM(Input!BI$3:BI$202))</f>
        <v/>
      </c>
      <c r="BJ3" s="4" t="str">
        <f>IF(BJ$1="","",SUM(Input!BJ$3:BJ$202))</f>
        <v/>
      </c>
    </row>
    <row r="4" spans="1:62" x14ac:dyDescent="0.25">
      <c r="A4" s="1" t="s">
        <v>5</v>
      </c>
      <c r="B4" s="2">
        <v>0</v>
      </c>
      <c r="C4" t="e">
        <f ca="1">IF(C$1="","",CountCTs(Input!C$3:C$202))</f>
        <v>#NAME?</v>
      </c>
      <c r="D4" t="e">
        <f ca="1">IF(D$1="","",CountCTs(Input!D$3:D$202))</f>
        <v>#NAME?</v>
      </c>
      <c r="E4" t="e">
        <f ca="1">IF(E$1="","",CountCTs(Input!E$3:E$202))</f>
        <v>#NAME?</v>
      </c>
      <c r="F4" t="e">
        <f ca="1">IF(F$1="","",CountCTs(Input!F$3:F$202))</f>
        <v>#NAME?</v>
      </c>
      <c r="G4" t="e">
        <f ca="1">IF(G$1="","",CountCTs(Input!G$3:G$202))</f>
        <v>#NAME?</v>
      </c>
      <c r="H4" t="e">
        <f ca="1">IF(H$1="","",CountCTs(Input!H$3:H$202))</f>
        <v>#NAME?</v>
      </c>
      <c r="I4" t="e">
        <f ca="1">IF(I$1="","",CountCTs(Input!I$3:I$202))</f>
        <v>#NAME?</v>
      </c>
      <c r="J4" t="e">
        <f ca="1">IF(J$1="","",CountCTs(Input!J$3:J$202))</f>
        <v>#NAME?</v>
      </c>
      <c r="K4" t="e">
        <f ca="1">IF(K$1="","",CountCTs(Input!K$3:K$202))</f>
        <v>#NAME?</v>
      </c>
      <c r="L4" t="e">
        <f ca="1">IF(L$1="","",CountCTs(Input!L$3:L$202))</f>
        <v>#NAME?</v>
      </c>
      <c r="M4" t="e">
        <f ca="1">IF(M$1="","",CountCTs(Input!M$3:M$202))</f>
        <v>#NAME?</v>
      </c>
      <c r="N4" t="e">
        <f ca="1">IF(N$1="","",CountCTs(Input!N$3:N$202))</f>
        <v>#NAME?</v>
      </c>
      <c r="O4" t="e">
        <f ca="1">IF(O$1="","",CountCTs(Input!O$3:O$202))</f>
        <v>#NAME?</v>
      </c>
      <c r="P4" t="e">
        <f ca="1">IF(P$1="","",CountCTs(Input!P$3:P$202))</f>
        <v>#NAME?</v>
      </c>
      <c r="Q4" t="str">
        <f>IF(Q$1="","",CountCTs(Input!Q$3:Q$202))</f>
        <v/>
      </c>
      <c r="R4" t="str">
        <f>IF(R$1="","",CountCTs(Input!R$3:R$202))</f>
        <v/>
      </c>
      <c r="S4" t="str">
        <f>IF(S$1="","",CountCTs(Input!S$3:S$202))</f>
        <v/>
      </c>
      <c r="T4" t="str">
        <f>IF(T$1="","",CountCTs(Input!T$3:T$202))</f>
        <v/>
      </c>
      <c r="U4" t="str">
        <f>IF(U$1="","",CountCTs(Input!U$3:U$202))</f>
        <v/>
      </c>
      <c r="V4" t="str">
        <f>IF(V$1="","",CountCTs(Input!V$3:V$202))</f>
        <v/>
      </c>
      <c r="W4" t="str">
        <f>IF(W$1="","",CountCTs(Input!W$3:W$202))</f>
        <v/>
      </c>
      <c r="X4" t="str">
        <f>IF(X$1="","",CountCTs(Input!X$3:X$202))</f>
        <v/>
      </c>
      <c r="Y4" t="str">
        <f>IF(Y$1="","",CountCTs(Input!Y$3:Y$202))</f>
        <v/>
      </c>
      <c r="Z4" t="str">
        <f>IF(Z$1="","",CountCTs(Input!Z$3:Z$202))</f>
        <v/>
      </c>
      <c r="AA4" t="str">
        <f>IF(AA$1="","",CountCTs(Input!AA$3:AA$202))</f>
        <v/>
      </c>
      <c r="AB4" t="str">
        <f>IF(AB$1="","",CountCTs(Input!AB$3:AB$202))</f>
        <v/>
      </c>
      <c r="AC4" t="str">
        <f>IF(AC$1="","",CountCTs(Input!AC$3:AC$202))</f>
        <v/>
      </c>
      <c r="AD4" t="str">
        <f>IF(AD$1="","",CountCTs(Input!AD$3:AD$202))</f>
        <v/>
      </c>
      <c r="AE4" t="str">
        <f>IF(AE$1="","",CountCTs(Input!AE$3:AE$202))</f>
        <v/>
      </c>
      <c r="AF4" t="str">
        <f>IF(AF$1="","",CountCTs(Input!AF$3:AF$202))</f>
        <v/>
      </c>
      <c r="AG4" t="str">
        <f>IF(AG$1="","",CountCTs(Input!AG$3:AG$202))</f>
        <v/>
      </c>
      <c r="AH4" t="str">
        <f>IF(AH$1="","",CountCTs(Input!AH$3:AH$202))</f>
        <v/>
      </c>
      <c r="AI4" t="str">
        <f>IF(AI$1="","",CountCTs(Input!AI$3:AI$202))</f>
        <v/>
      </c>
      <c r="AJ4" t="str">
        <f>IF(AJ$1="","",CountCTs(Input!AJ$3:AJ$202))</f>
        <v/>
      </c>
      <c r="AK4" t="str">
        <f>IF(AK$1="","",CountCTs(Input!AK$3:AK$202))</f>
        <v/>
      </c>
      <c r="AL4" t="str">
        <f>IF(AL$1="","",CountCTs(Input!AL$3:AL$202))</f>
        <v/>
      </c>
      <c r="AM4" t="str">
        <f>IF(AM$1="","",CountCTs(Input!AM$3:AM$202))</f>
        <v/>
      </c>
      <c r="AN4" t="str">
        <f>IF(AN$1="","",CountCTs(Input!AN$3:AN$202))</f>
        <v/>
      </c>
      <c r="AO4" t="str">
        <f>IF(AO$1="","",CountCTs(Input!AO$3:AO$202))</f>
        <v/>
      </c>
      <c r="AP4" t="str">
        <f>IF(AP$1="","",CountCTs(Input!AP$3:AP$202))</f>
        <v/>
      </c>
      <c r="AQ4" t="str">
        <f>IF(AQ$1="","",CountCTs(Input!AQ$3:AQ$202))</f>
        <v/>
      </c>
      <c r="AR4" t="str">
        <f>IF(AR$1="","",CountCTs(Input!AR$3:AR$202))</f>
        <v/>
      </c>
      <c r="AS4" t="str">
        <f>IF(AS$1="","",CountCTs(Input!AS$3:AS$202))</f>
        <v/>
      </c>
      <c r="AT4" t="str">
        <f>IF(AT$1="","",CountCTs(Input!AT$3:AT$202))</f>
        <v/>
      </c>
      <c r="AU4" t="str">
        <f>IF(AU$1="","",CountCTs(Input!AU$3:AU$202))</f>
        <v/>
      </c>
      <c r="AV4" t="str">
        <f>IF(AV$1="","",CountCTs(Input!AV$3:AV$202))</f>
        <v/>
      </c>
      <c r="AW4" t="str">
        <f>IF(AW$1="","",CountCTs(Input!AW$3:AW$202))</f>
        <v/>
      </c>
      <c r="AX4" t="str">
        <f>IF(AX$1="","",CountCTs(Input!AX$3:AX$202))</f>
        <v/>
      </c>
      <c r="AY4" t="str">
        <f>IF(AY$1="","",CountCTs(Input!AY$3:AY$202))</f>
        <v/>
      </c>
      <c r="AZ4" t="str">
        <f>IF(AZ$1="","",CountCTs(Input!AZ$3:AZ$202))</f>
        <v/>
      </c>
      <c r="BA4" t="str">
        <f>IF(BA$1="","",CountCTs(Input!BA$3:BA$202))</f>
        <v/>
      </c>
      <c r="BB4" t="str">
        <f>IF(BB$1="","",CountCTs(Input!BB$3:BB$202))</f>
        <v/>
      </c>
      <c r="BC4" t="str">
        <f>IF(BC$1="","",CountCTs(Input!BC$3:BC$202))</f>
        <v/>
      </c>
      <c r="BD4" t="str">
        <f>IF(BD$1="","",CountCTs(Input!BD$3:BD$202))</f>
        <v/>
      </c>
      <c r="BE4" t="str">
        <f>IF(BE$1="","",CountCTs(Input!BE$3:BE$202))</f>
        <v/>
      </c>
      <c r="BF4" t="str">
        <f>IF(BF$1="","",CountCTs(Input!BF$3:BF$202))</f>
        <v/>
      </c>
      <c r="BG4" t="str">
        <f>IF(BG$1="","",CountCTs(Input!BG$3:BG$202))</f>
        <v/>
      </c>
      <c r="BH4" t="str">
        <f>IF(BH$1="","",CountCTs(Input!BH$3:BH$202))</f>
        <v/>
      </c>
      <c r="BI4" t="str">
        <f>IF(BI$1="","",CountCTs(Input!BI$3:BI$202))</f>
        <v/>
      </c>
      <c r="BJ4" t="str">
        <f>IF(BJ$1="","",CountCTs(Input!BJ$3:BJ$202))</f>
        <v/>
      </c>
    </row>
    <row r="5" spans="1:62" x14ac:dyDescent="0.25">
      <c r="A5" s="1" t="s">
        <v>6</v>
      </c>
      <c r="B5" s="2">
        <f>SUMPRODUCT(--(Input!$A$3:$A$202&lt;&gt;""))</f>
        <v>5</v>
      </c>
      <c r="C5" t="e">
        <f ca="1">IF(C$1="","",B$5-C4)</f>
        <v>#NAME?</v>
      </c>
      <c r="D5" t="e">
        <f t="shared" ref="D5:BJ5" ca="1" si="2">IF(D$1="","",C$5-D4)</f>
        <v>#NAME?</v>
      </c>
      <c r="E5" t="e">
        <f t="shared" ca="1" si="2"/>
        <v>#NAME?</v>
      </c>
      <c r="F5" t="e">
        <f t="shared" ca="1" si="2"/>
        <v>#NAME?</v>
      </c>
      <c r="G5" t="e">
        <f t="shared" ca="1" si="2"/>
        <v>#NAME?</v>
      </c>
      <c r="H5" t="e">
        <f t="shared" ca="1" si="2"/>
        <v>#NAME?</v>
      </c>
      <c r="I5" t="e">
        <f t="shared" ca="1" si="2"/>
        <v>#NAME?</v>
      </c>
      <c r="J5" t="e">
        <f t="shared" ca="1" si="2"/>
        <v>#NAME?</v>
      </c>
      <c r="K5" t="e">
        <f t="shared" ca="1" si="2"/>
        <v>#NAME?</v>
      </c>
      <c r="L5" t="e">
        <f t="shared" ca="1" si="2"/>
        <v>#NAME?</v>
      </c>
      <c r="M5" t="e">
        <f t="shared" ca="1" si="2"/>
        <v>#NAME?</v>
      </c>
      <c r="N5" t="e">
        <f t="shared" ca="1" si="2"/>
        <v>#NAME?</v>
      </c>
      <c r="O5" t="e">
        <f t="shared" ca="1" si="2"/>
        <v>#NAME?</v>
      </c>
      <c r="P5" t="e">
        <f t="shared" ca="1" si="2"/>
        <v>#NAME?</v>
      </c>
      <c r="Q5" t="str">
        <f t="shared" si="2"/>
        <v/>
      </c>
      <c r="R5" t="str">
        <f t="shared" si="2"/>
        <v/>
      </c>
      <c r="S5" t="str">
        <f t="shared" si="2"/>
        <v/>
      </c>
      <c r="T5" t="str">
        <f t="shared" si="2"/>
        <v/>
      </c>
      <c r="U5" t="str">
        <f t="shared" si="2"/>
        <v/>
      </c>
      <c r="V5" t="str">
        <f t="shared" si="2"/>
        <v/>
      </c>
      <c r="W5" t="str">
        <f t="shared" si="2"/>
        <v/>
      </c>
      <c r="X5" t="str">
        <f t="shared" si="2"/>
        <v/>
      </c>
      <c r="Y5" t="str">
        <f t="shared" si="2"/>
        <v/>
      </c>
      <c r="Z5" t="str">
        <f t="shared" si="2"/>
        <v/>
      </c>
      <c r="AA5" t="str">
        <f t="shared" si="2"/>
        <v/>
      </c>
      <c r="AB5" t="str">
        <f t="shared" si="2"/>
        <v/>
      </c>
      <c r="AC5" t="str">
        <f t="shared" si="2"/>
        <v/>
      </c>
      <c r="AD5" t="str">
        <f t="shared" si="2"/>
        <v/>
      </c>
      <c r="AE5" t="str">
        <f t="shared" si="2"/>
        <v/>
      </c>
      <c r="AF5" t="str">
        <f t="shared" si="2"/>
        <v/>
      </c>
      <c r="AG5" t="str">
        <f t="shared" si="2"/>
        <v/>
      </c>
      <c r="AH5" t="str">
        <f t="shared" si="2"/>
        <v/>
      </c>
      <c r="AI5" t="str">
        <f t="shared" si="2"/>
        <v/>
      </c>
      <c r="AJ5" t="str">
        <f t="shared" si="2"/>
        <v/>
      </c>
      <c r="AK5" t="str">
        <f t="shared" si="2"/>
        <v/>
      </c>
      <c r="AL5" t="str">
        <f t="shared" si="2"/>
        <v/>
      </c>
      <c r="AM5" t="str">
        <f t="shared" si="2"/>
        <v/>
      </c>
      <c r="AN5" t="str">
        <f t="shared" si="2"/>
        <v/>
      </c>
      <c r="AO5" t="str">
        <f t="shared" si="2"/>
        <v/>
      </c>
      <c r="AP5" t="str">
        <f t="shared" si="2"/>
        <v/>
      </c>
      <c r="AQ5" t="str">
        <f t="shared" si="2"/>
        <v/>
      </c>
      <c r="AR5" t="str">
        <f t="shared" si="2"/>
        <v/>
      </c>
      <c r="AS5" t="str">
        <f t="shared" si="2"/>
        <v/>
      </c>
      <c r="AT5" t="str">
        <f t="shared" si="2"/>
        <v/>
      </c>
      <c r="AU5" t="str">
        <f t="shared" si="2"/>
        <v/>
      </c>
      <c r="AV5" t="str">
        <f t="shared" si="2"/>
        <v/>
      </c>
      <c r="AW5" t="str">
        <f t="shared" si="2"/>
        <v/>
      </c>
      <c r="AX5" t="str">
        <f t="shared" si="2"/>
        <v/>
      </c>
      <c r="AY5" t="str">
        <f t="shared" si="2"/>
        <v/>
      </c>
      <c r="AZ5" t="str">
        <f t="shared" si="2"/>
        <v/>
      </c>
      <c r="BA5" t="str">
        <f t="shared" si="2"/>
        <v/>
      </c>
      <c r="BB5" t="str">
        <f t="shared" si="2"/>
        <v/>
      </c>
      <c r="BC5" t="str">
        <f t="shared" si="2"/>
        <v/>
      </c>
      <c r="BD5" t="str">
        <f t="shared" si="2"/>
        <v/>
      </c>
      <c r="BE5" t="str">
        <f t="shared" si="2"/>
        <v/>
      </c>
      <c r="BF5" t="str">
        <f t="shared" si="2"/>
        <v/>
      </c>
      <c r="BG5" t="str">
        <f t="shared" si="2"/>
        <v/>
      </c>
      <c r="BH5" t="str">
        <f t="shared" si="2"/>
        <v/>
      </c>
      <c r="BI5" t="str">
        <f t="shared" si="2"/>
        <v/>
      </c>
      <c r="BJ5" t="str">
        <f t="shared" si="2"/>
        <v/>
      </c>
    </row>
    <row r="7" spans="1:62" x14ac:dyDescent="0.25">
      <c r="A7"/>
    </row>
    <row r="8" spans="1:62" x14ac:dyDescent="0.25">
      <c r="A8"/>
    </row>
    <row r="9" spans="1:62" x14ac:dyDescent="0.25">
      <c r="A9"/>
    </row>
    <row r="10" spans="1:62" x14ac:dyDescent="0.25">
      <c r="A10"/>
    </row>
    <row r="11" spans="1:62" x14ac:dyDescent="0.25">
      <c r="A11"/>
    </row>
    <row r="12" spans="1:62" x14ac:dyDescent="0.25">
      <c r="A12"/>
    </row>
    <row r="13" spans="1:62" x14ac:dyDescent="0.25">
      <c r="A13"/>
    </row>
    <row r="14" spans="1:62" x14ac:dyDescent="0.25">
      <c r="A14"/>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Burndown Chart</vt:lpstr>
      <vt:lpstr>Input</vt:lpstr>
    </vt:vector>
  </TitlesOfParts>
  <Company>IBM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Vijay A. Verma</dc:creator>
  <cp:lastModifiedBy>SRG 7th Gen</cp:lastModifiedBy>
  <cp:lastPrinted>2016-02-23T08:42:38Z</cp:lastPrinted>
  <dcterms:created xsi:type="dcterms:W3CDTF">2016-02-23T08:35:30Z</dcterms:created>
  <dcterms:modified xsi:type="dcterms:W3CDTF">2018-12-08T01:40:19Z</dcterms:modified>
</cp:coreProperties>
</file>