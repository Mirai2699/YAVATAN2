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029" codeName="{3D1A710C-6663-3D7B-7F91-EC182F24A4BC}"/>
  <workbookPr codeName="ThisWorkbook"/>
  <mc:AlternateContent xmlns:mc="http://schemas.openxmlformats.org/markup-compatibility/2006">
    <mc:Choice Requires="x15">
      <x15ac:absPath xmlns:x15ac="http://schemas.microsoft.com/office/spreadsheetml/2010/11/ac" url="D:\2 - PENDING\1 - YAVATAN SYSTEM DOCUMENTATION\YAVATAN Sprint Burdndown Charts\"/>
    </mc:Choice>
  </mc:AlternateContent>
  <xr:revisionPtr revIDLastSave="0" documentId="13_ncr:1_{29E67934-61F1-4E76-B8E5-1114EC1B949E}" xr6:coauthVersionLast="40" xr6:coauthVersionMax="40" xr10:uidLastSave="{00000000-0000-0000-0000-000000000000}"/>
  <workbookProtection workbookPassword="B126" lockStructure="1"/>
  <bookViews>
    <workbookView xWindow="0" yWindow="0" windowWidth="19200" windowHeight="6945" xr2:uid="{00000000-000D-0000-FFFF-FFFF00000000}"/>
  </bookViews>
  <sheets>
    <sheet name="Burndown Chart" sheetId="1" r:id="rId1"/>
    <sheet name="Input" sheetId="3" r:id="rId2"/>
    <sheet name="Final Data" sheetId="4" state="veryHidden" r:id="rId3"/>
  </sheets>
  <definedNames>
    <definedName name="Date">OFFSET('Final Data'!$A$1,0,1,1,SUMPRODUCT(--('Final Data'!$B$1:$BJ$1&lt;&gt;"")))</definedName>
    <definedName name="HoursR">OFFSET('Final Data'!$A$3,0,1,1,SUMPRODUCT(--('Final Data'!$B$3:$BJ$3&lt;&gt;"")))</definedName>
    <definedName name="PlannedE">OFFSET('Final Data'!$A$2,0,1,1,SUMPRODUCT(--('Final Data'!$B$2:$BJ$2&lt;&gt;"")))</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 i="4" l="1"/>
  <c r="A3" i="4"/>
  <c r="B5" i="4" l="1"/>
  <c r="B2" i="3" l="1"/>
  <c r="B2" i="4" l="1"/>
  <c r="B3" i="4"/>
  <c r="H1" i="4" l="1"/>
  <c r="BJ1" i="4"/>
  <c r="BI1" i="4"/>
  <c r="BH1" i="4"/>
  <c r="BG1" i="4"/>
  <c r="BF1" i="4"/>
  <c r="BE1" i="4"/>
  <c r="BD1" i="4"/>
  <c r="BC1" i="4"/>
  <c r="BB1" i="4"/>
  <c r="BA1" i="4"/>
  <c r="AZ1" i="4"/>
  <c r="AY1" i="4"/>
  <c r="AX1" i="4"/>
  <c r="AW1" i="4"/>
  <c r="AV1" i="4"/>
  <c r="AU1" i="4"/>
  <c r="AT1" i="4"/>
  <c r="AS1" i="4"/>
  <c r="AR1" i="4"/>
  <c r="AQ1" i="4"/>
  <c r="AP1" i="4"/>
  <c r="AO1" i="4"/>
  <c r="AN1" i="4"/>
  <c r="AM1" i="4"/>
  <c r="AL1" i="4"/>
  <c r="AK1" i="4"/>
  <c r="AJ1" i="4"/>
  <c r="AI1" i="4"/>
  <c r="AH1" i="4"/>
  <c r="AG1" i="4"/>
  <c r="AF1" i="4"/>
  <c r="AE1" i="4"/>
  <c r="AD1" i="4"/>
  <c r="AC1" i="4"/>
  <c r="AB1" i="4"/>
  <c r="AA1" i="4"/>
  <c r="Z1" i="4"/>
  <c r="Y1" i="4"/>
  <c r="X1" i="4"/>
  <c r="W1" i="4"/>
  <c r="V1" i="4"/>
  <c r="U1" i="4"/>
  <c r="T1" i="4"/>
  <c r="S1" i="4"/>
  <c r="R1" i="4"/>
  <c r="Q1" i="4"/>
  <c r="P1" i="4"/>
  <c r="O1" i="4"/>
  <c r="N1" i="4"/>
  <c r="M1" i="4"/>
  <c r="L1" i="4"/>
  <c r="K1" i="4"/>
  <c r="J1" i="4"/>
  <c r="I1" i="4"/>
  <c r="G1" i="4"/>
  <c r="F1" i="4"/>
  <c r="E1" i="4"/>
  <c r="D1" i="4"/>
  <c r="C1" i="4"/>
  <c r="S4" i="4"/>
  <c r="K3" i="4" l="1"/>
  <c r="C3" i="4"/>
  <c r="L3" i="4"/>
  <c r="T4" i="4"/>
  <c r="T5" i="4"/>
  <c r="AB4" i="4"/>
  <c r="AB5" i="4"/>
  <c r="AJ4" i="4"/>
  <c r="AJ5" i="4"/>
  <c r="AR4" i="4"/>
  <c r="AR5" i="4"/>
  <c r="AZ4" i="4"/>
  <c r="AZ5" i="4"/>
  <c r="BH4" i="4"/>
  <c r="BH5" i="4"/>
  <c r="D3" i="4"/>
  <c r="I3" i="4"/>
  <c r="M3" i="4"/>
  <c r="Q3" i="4"/>
  <c r="U4" i="4"/>
  <c r="U5" i="4"/>
  <c r="Y4" i="4"/>
  <c r="Y5" i="4"/>
  <c r="AC4" i="4"/>
  <c r="AC5" i="4"/>
  <c r="AG4" i="4"/>
  <c r="AG5" i="4"/>
  <c r="AK4" i="4"/>
  <c r="AK5" i="4"/>
  <c r="AO4" i="4"/>
  <c r="AO5" i="4"/>
  <c r="AS4" i="4"/>
  <c r="AS5" i="4"/>
  <c r="AW4" i="4"/>
  <c r="AW5" i="4"/>
  <c r="BA4" i="4"/>
  <c r="BA5" i="4"/>
  <c r="BE4" i="4"/>
  <c r="BE5" i="4"/>
  <c r="BI4" i="4"/>
  <c r="BI5" i="4"/>
  <c r="F3" i="4"/>
  <c r="O3" i="4"/>
  <c r="G3" i="4"/>
  <c r="P3" i="4"/>
  <c r="X5" i="4"/>
  <c r="X4" i="4"/>
  <c r="AF5" i="4"/>
  <c r="AF4" i="4"/>
  <c r="AN5" i="4"/>
  <c r="AN4" i="4"/>
  <c r="AV5" i="4"/>
  <c r="AV4" i="4"/>
  <c r="BD5" i="4"/>
  <c r="BD4" i="4"/>
  <c r="E3" i="4"/>
  <c r="J3" i="4"/>
  <c r="N3" i="4"/>
  <c r="R3" i="4"/>
  <c r="V5" i="4"/>
  <c r="V4" i="4"/>
  <c r="Z5" i="4"/>
  <c r="Z4" i="4"/>
  <c r="AD5" i="4"/>
  <c r="AD4" i="4"/>
  <c r="AH5" i="4"/>
  <c r="AH4" i="4"/>
  <c r="AL5" i="4"/>
  <c r="AL4" i="4"/>
  <c r="AP5" i="4"/>
  <c r="AP4" i="4"/>
  <c r="AT5" i="4"/>
  <c r="AT4" i="4"/>
  <c r="AX5" i="4"/>
  <c r="AX4" i="4"/>
  <c r="BB5" i="4"/>
  <c r="BB4" i="4"/>
  <c r="BF5" i="4"/>
  <c r="BF4" i="4"/>
  <c r="BJ5" i="4"/>
  <c r="BJ4" i="4"/>
  <c r="W4" i="4"/>
  <c r="W5" i="4"/>
  <c r="AA4" i="4"/>
  <c r="AA5" i="4"/>
  <c r="AE4" i="4"/>
  <c r="AE5" i="4"/>
  <c r="AI4" i="4"/>
  <c r="AI5" i="4"/>
  <c r="AM4" i="4"/>
  <c r="AM5" i="4"/>
  <c r="AQ4" i="4"/>
  <c r="AQ5" i="4"/>
  <c r="AU4" i="4"/>
  <c r="AU5" i="4"/>
  <c r="AY4" i="4"/>
  <c r="AY5" i="4"/>
  <c r="BC5" i="4"/>
  <c r="BC4" i="4"/>
  <c r="BG4" i="4"/>
  <c r="BG5" i="4"/>
  <c r="H3" i="4"/>
  <c r="Y3" i="4"/>
  <c r="AG2" i="4"/>
  <c r="AG3" i="4"/>
  <c r="AO2" i="4"/>
  <c r="AO3" i="4"/>
  <c r="AW2" i="4"/>
  <c r="AW3" i="4"/>
  <c r="BE2" i="4"/>
  <c r="BE3" i="4"/>
  <c r="V3" i="4"/>
  <c r="AD3" i="4"/>
  <c r="AL3" i="4"/>
  <c r="AL2" i="4"/>
  <c r="AP3" i="4"/>
  <c r="AP2" i="4"/>
  <c r="AX3" i="4"/>
  <c r="AX2" i="4"/>
  <c r="BF3" i="4"/>
  <c r="BF2" i="4"/>
  <c r="BJ3" i="4"/>
  <c r="BJ2" i="4"/>
  <c r="W3" i="4"/>
  <c r="AA3" i="4"/>
  <c r="AE3" i="4"/>
  <c r="AI3" i="4"/>
  <c r="AI2" i="4"/>
  <c r="AM3" i="4"/>
  <c r="AM2" i="4"/>
  <c r="AQ3" i="4"/>
  <c r="AQ2" i="4"/>
  <c r="AU3" i="4"/>
  <c r="AU2" i="4"/>
  <c r="AY3" i="4"/>
  <c r="AY2" i="4"/>
  <c r="BC3" i="4"/>
  <c r="BC2" i="4"/>
  <c r="BG3" i="4"/>
  <c r="BG2" i="4"/>
  <c r="U3" i="4"/>
  <c r="AC3" i="4"/>
  <c r="AK2" i="4"/>
  <c r="AK3" i="4"/>
  <c r="AS2" i="4"/>
  <c r="AS3" i="4"/>
  <c r="BA2" i="4"/>
  <c r="BA3" i="4"/>
  <c r="BI2" i="4"/>
  <c r="BI3" i="4"/>
  <c r="Z3" i="4"/>
  <c r="AH3" i="4"/>
  <c r="AH2" i="4"/>
  <c r="AT3" i="4"/>
  <c r="AT2" i="4"/>
  <c r="BB3" i="4"/>
  <c r="BB2" i="4"/>
  <c r="T3" i="4"/>
  <c r="X3" i="4"/>
  <c r="AB3" i="4"/>
  <c r="AF2" i="4"/>
  <c r="AF3" i="4"/>
  <c r="AJ2" i="4"/>
  <c r="AJ3" i="4"/>
  <c r="AN2" i="4"/>
  <c r="AN3" i="4"/>
  <c r="AR2" i="4"/>
  <c r="AR3" i="4"/>
  <c r="AV2" i="4"/>
  <c r="AV3" i="4"/>
  <c r="AZ2" i="4"/>
  <c r="AZ3" i="4"/>
  <c r="BD2" i="4"/>
  <c r="BD3" i="4"/>
  <c r="BH2" i="4"/>
  <c r="BH3" i="4"/>
  <c r="C2" i="4"/>
  <c r="D2" i="4" s="1"/>
  <c r="E2" i="4" s="1"/>
  <c r="F2" i="4" s="1"/>
  <c r="G2" i="4" s="1"/>
  <c r="H2" i="4" s="1"/>
  <c r="I2" i="4" s="1"/>
  <c r="J2" i="4" s="1"/>
  <c r="K2" i="4" s="1"/>
  <c r="L2" i="4" s="1"/>
  <c r="M2" i="4" s="1"/>
  <c r="N2" i="4" s="1"/>
  <c r="O2" i="4" s="1"/>
  <c r="P2" i="4" s="1"/>
  <c r="Q2" i="4" s="1"/>
  <c r="R2" i="4" s="1"/>
  <c r="S2" i="4" s="1"/>
  <c r="T2" i="4" s="1"/>
  <c r="U2" i="4" s="1"/>
  <c r="V2" i="4" s="1"/>
  <c r="W2" i="4" s="1"/>
  <c r="X2" i="4" s="1"/>
  <c r="Y2" i="4" s="1"/>
  <c r="Z2" i="4" s="1"/>
  <c r="AA2" i="4" s="1"/>
  <c r="AB2" i="4" s="1"/>
  <c r="AC2" i="4" s="1"/>
  <c r="AD2" i="4" s="1"/>
  <c r="AE2" i="4" s="1"/>
  <c r="S3" i="4"/>
  <c r="R4" i="4"/>
  <c r="Q4" i="4"/>
  <c r="H4" i="4"/>
  <c r="F4" i="4"/>
  <c r="J4" i="4"/>
  <c r="L4" i="4"/>
  <c r="I4" i="4"/>
  <c r="P4" i="4"/>
  <c r="O4" i="4"/>
  <c r="G4" i="4"/>
  <c r="M4" i="4"/>
  <c r="N4" i="4"/>
  <c r="E4" i="4"/>
  <c r="D4" i="4"/>
  <c r="C4" i="4"/>
  <c r="K4" i="4"/>
  <c r="C5" i="4" l="1"/>
  <c r="D5" i="4" s="1"/>
  <c r="E5" i="4" s="1"/>
  <c r="F5" i="4" s="1"/>
  <c r="G5" i="4" s="1"/>
  <c r="H5" i="4" s="1"/>
  <c r="I5" i="4" s="1"/>
  <c r="J5" i="4" s="1"/>
  <c r="K5" i="4" s="1"/>
  <c r="L5" i="4" s="1"/>
  <c r="M5" i="4" s="1"/>
  <c r="N5" i="4" s="1"/>
  <c r="O5" i="4" s="1"/>
  <c r="P5" i="4" s="1"/>
  <c r="Q5" i="4" s="1"/>
  <c r="R5" i="4" s="1"/>
  <c r="S5" i="4" s="1"/>
</calcChain>
</file>

<file path=xl/sharedStrings.xml><?xml version="1.0" encoding="utf-8"?>
<sst xmlns="http://schemas.openxmlformats.org/spreadsheetml/2006/main" count="23" uniqueCount="23">
  <si>
    <t>Planned Effort</t>
  </si>
  <si>
    <t>Date</t>
  </si>
  <si>
    <t>Hours Remaining</t>
  </si>
  <si>
    <t>Day 0</t>
  </si>
  <si>
    <t>Burndown Chart</t>
  </si>
  <si>
    <t>Completed Tasks</t>
  </si>
  <si>
    <t>Remaining Tasks</t>
  </si>
  <si>
    <t>Customize the Legend</t>
  </si>
  <si>
    <t>Task / Story / Sprints</t>
  </si>
  <si>
    <t>Dates can be entered till column BJ, hence it supports upto 60 days (time duration).
Tasks can be entered till row 202, hence upto 200 tasks can be entered.
Enter Remaining Effort to complete the task at the end of that day only - 0 would mean that the task is completed</t>
  </si>
  <si>
    <r>
      <rPr>
        <b/>
        <sz val="11"/>
        <color theme="0"/>
        <rFont val="Calibri"/>
        <family val="2"/>
        <scheme val="minor"/>
      </rPr>
      <t>Validations</t>
    </r>
    <r>
      <rPr>
        <b/>
        <sz val="11"/>
        <color theme="1"/>
        <rFont val="Calibri"/>
        <family val="2"/>
        <scheme val="minor"/>
      </rPr>
      <t xml:space="preserve"> - Remaining Efforts can not be &gt; Planned Effort, Next Day's Remaining Effort should be &lt;= Previous Day's Remaining Effort, Negative entry is not allowed, Planned Effort, if Entered, should be &gt;=0, 
</t>
    </r>
    <r>
      <rPr>
        <b/>
        <sz val="11"/>
        <color theme="0"/>
        <rFont val="Calibri"/>
        <family val="2"/>
        <scheme val="minor"/>
      </rPr>
      <t>Weekend date will be highlighted in Orange.</t>
    </r>
  </si>
  <si>
    <t>As a system administrator, I want to see the number of different status of volunteers in dashboard.</t>
  </si>
  <si>
    <t>As a system administrator, I want to see the events per group in the dashboard.</t>
  </si>
  <si>
    <t>As a system administrator, I want to see the frequency of events per group in the dashboard.</t>
  </si>
  <si>
    <t>As a system administrator, I want to see the volunteers and contacts per region in the dashboard.</t>
  </si>
  <si>
    <t>As a system administrator, I want to see the highest percentage of religions per region in the dashboard.</t>
  </si>
  <si>
    <t>As a system administrator, I want to see the language per region in the dashboard.</t>
  </si>
  <si>
    <t>As a group leader, I want to see the number of different status of volunteers the in dashboard.</t>
  </si>
  <si>
    <t>As a group leader, I want to see the prediction for the weather the in dashboard.</t>
  </si>
  <si>
    <t>As a group leader, I want to see the frequency of events per group in the dashboard.</t>
  </si>
  <si>
    <t>As a group leader, I want to see the volunteers and contacts per region in the dashboard.</t>
  </si>
  <si>
    <t>As a group leader, I want to see the highest percentage of religions per region in the dashboard.</t>
  </si>
  <si>
    <t>As a group leader, I want to see the language per region in the dashboard.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</si>
</sst>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409]dd\-mmm\-yy;@"/>
    <numFmt numFmtId="165" formatCode="[$-409]d\-mmm\-yy;@"/>
    <numFmt numFmtId="167" formatCode="m/d/yy;@"/>
  </numFmts>
  <fonts count="9" x14ac:knownFonts="1">
    <font>
      <sz val="11"/>
      <color theme="1"/>
      <name val="Calibri"/>
      <family val="2"/>
      <scheme val="minor"/>
    </font>
    <font>
      <b/>
      <sz val="11"/>
      <color theme="0"/>
      <name val="Calibri"/>
      <family val="2"/>
      <scheme val="minor"/>
    </font>
    <font>
      <b/>
      <sz val="11"/>
      <color theme="1"/>
      <name val="Calibri"/>
      <family val="2"/>
      <scheme val="minor"/>
    </font>
    <font>
      <sz val="28"/>
      <color theme="0"/>
      <name val="Calibri"/>
      <family val="2"/>
      <scheme val="minor"/>
    </font>
    <font>
      <sz val="11"/>
      <color rgb="FF000000"/>
      <name val="Calibri"/>
      <family val="2"/>
    </font>
    <font>
      <sz val="20"/>
      <color rgb="FF000000"/>
      <name val="Calibri"/>
      <family val="2"/>
    </font>
    <font>
      <sz val="12"/>
      <color theme="1"/>
      <name val="Arial"/>
      <family val="2"/>
    </font>
    <font>
      <b/>
      <sz val="12"/>
      <color theme="1"/>
      <name val="Calibri"/>
      <family val="2"/>
      <scheme val="minor"/>
    </font>
    <font>
      <sz val="11"/>
      <color rgb="FF000000"/>
      <name val="Arial"/>
      <family val="2"/>
    </font>
  </fonts>
  <fills count="6">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1E6D41"/>
        <bgColor indexed="64"/>
      </patternFill>
    </fill>
    <fill>
      <patternFill patternType="solid">
        <fgColor rgb="FFCC9900"/>
        <bgColor indexed="64"/>
      </patternFill>
    </fill>
  </fills>
  <borders count="3">
    <border>
      <left/>
      <right/>
      <top/>
      <bottom/>
      <diagonal/>
    </border>
    <border>
      <left style="medium">
        <color rgb="FF000000"/>
      </left>
      <right style="medium">
        <color rgb="FF000000"/>
      </right>
      <top style="medium">
        <color rgb="FF000000"/>
      </top>
      <bottom style="medium">
        <color rgb="FF000000"/>
      </bottom>
      <diagonal/>
    </border>
    <border>
      <left style="medium">
        <color rgb="FF000000"/>
      </left>
      <right style="medium">
        <color rgb="FF000000"/>
      </right>
      <top/>
      <bottom style="medium">
        <color rgb="FF000000"/>
      </bottom>
      <diagonal/>
    </border>
  </borders>
  <cellStyleXfs count="1">
    <xf numFmtId="0" fontId="0" fillId="0" borderId="0"/>
  </cellStyleXfs>
  <cellXfs count="25">
    <xf numFmtId="0" fontId="0" fillId="0" borderId="0" xfId="0"/>
    <xf numFmtId="0" fontId="2" fillId="0" borderId="0" xfId="0" applyFont="1"/>
    <xf numFmtId="0" fontId="0" fillId="0" borderId="0" xfId="0" applyFont="1"/>
    <xf numFmtId="0" fontId="0" fillId="0" borderId="0" xfId="0" applyAlignment="1">
      <alignment wrapText="1"/>
    </xf>
    <xf numFmtId="1" fontId="0" fillId="0" borderId="0" xfId="0" applyNumberFormat="1"/>
    <xf numFmtId="164" fontId="2" fillId="0" borderId="0" xfId="0" applyNumberFormat="1" applyFont="1"/>
    <xf numFmtId="1" fontId="2" fillId="0" borderId="0" xfId="0" applyNumberFormat="1" applyFont="1"/>
    <xf numFmtId="1" fontId="0" fillId="0" borderId="0" xfId="0" applyNumberFormat="1" applyFont="1"/>
    <xf numFmtId="165" fontId="2" fillId="0" borderId="0" xfId="0" applyNumberFormat="1" applyFont="1"/>
    <xf numFmtId="0" fontId="1" fillId="5" borderId="0" xfId="0" applyFont="1" applyFill="1"/>
    <xf numFmtId="0" fontId="6" fillId="0" borderId="0" xfId="0" applyFont="1" applyAlignment="1">
      <alignment wrapText="1"/>
    </xf>
    <xf numFmtId="164" fontId="7" fillId="0" borderId="0" xfId="0" applyNumberFormat="1" applyFont="1" applyAlignment="1">
      <alignment wrapText="1"/>
    </xf>
    <xf numFmtId="0" fontId="0" fillId="0" borderId="0" xfId="0" applyNumberFormat="1" applyAlignment="1">
      <alignment wrapText="1"/>
    </xf>
    <xf numFmtId="0" fontId="3" fillId="4" borderId="0" xfId="0" applyFont="1" applyFill="1" applyAlignment="1" applyProtection="1">
      <alignment horizontal="center"/>
    </xf>
    <xf numFmtId="0" fontId="3" fillId="0" borderId="0" xfId="0" applyFont="1" applyAlignment="1" applyProtection="1"/>
    <xf numFmtId="0" fontId="0" fillId="0" borderId="0" xfId="0" applyAlignment="1"/>
    <xf numFmtId="0" fontId="2" fillId="2" borderId="0" xfId="0" applyNumberFormat="1" applyFont="1" applyFill="1" applyAlignment="1">
      <alignment wrapText="1"/>
    </xf>
    <xf numFmtId="0" fontId="2" fillId="3" borderId="0" xfId="0" applyFont="1" applyFill="1" applyAlignment="1">
      <alignment wrapText="1"/>
    </xf>
    <xf numFmtId="0" fontId="2" fillId="0" borderId="0" xfId="0" applyFont="1" applyAlignment="1"/>
    <xf numFmtId="0" fontId="0" fillId="0" borderId="0" xfId="0"/>
    <xf numFmtId="0" fontId="0" fillId="0" borderId="0" xfId="0" applyAlignment="1">
      <alignment wrapText="1"/>
    </xf>
    <xf numFmtId="167" fontId="7" fillId="0" borderId="0" xfId="0" applyNumberFormat="1" applyFont="1" applyAlignment="1">
      <alignment wrapText="1"/>
    </xf>
    <xf numFmtId="0" fontId="8" fillId="0" borderId="0" xfId="0" applyFont="1" applyAlignment="1">
      <alignment wrapText="1"/>
    </xf>
    <xf numFmtId="0" fontId="8" fillId="0" borderId="1" xfId="0" applyFont="1" applyBorder="1" applyAlignment="1">
      <alignment vertical="center" wrapText="1"/>
    </xf>
    <xf numFmtId="0" fontId="8" fillId="0" borderId="2" xfId="0" applyFont="1" applyBorder="1" applyAlignment="1">
      <alignment vertical="center" wrapText="1"/>
    </xf>
  </cellXfs>
  <cellStyles count="1">
    <cellStyle name="Normal" xfId="0" builtinId="0"/>
  </cellStyles>
  <dxfs count="1">
    <dxf>
      <fill>
        <patternFill>
          <bgColor rgb="FFFFC000"/>
        </patternFill>
      </fill>
    </dxf>
  </dxfs>
  <tableStyles count="0" defaultTableStyle="TableStyleMedium2" defaultPivotStyle="PivotStyleLight16"/>
  <colors>
    <mruColors>
      <color rgb="FFCC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b="1"/>
              <a:t>YAVATAN</a:t>
            </a:r>
            <a:r>
              <a:rPr lang="en-US" b="1" baseline="0"/>
              <a:t> DCMS System</a:t>
            </a:r>
            <a:endParaRPr lang="en-US" b="1"/>
          </a:p>
          <a:p>
            <a:pPr>
              <a:defRPr/>
            </a:pPr>
            <a:r>
              <a:rPr lang="en-US" b="1"/>
              <a:t>(Sprint 1</a:t>
            </a:r>
            <a:r>
              <a:rPr lang="en-US" b="1" baseline="0"/>
              <a:t> - Analytics</a:t>
            </a:r>
            <a:r>
              <a:rPr lang="en-US" b="1"/>
              <a:t>)</a:t>
            </a: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US"/>
        </a:p>
      </c:txPr>
    </c:title>
    <c:autoTitleDeleted val="0"/>
    <c:plotArea>
      <c:layout/>
      <c:lineChart>
        <c:grouping val="standard"/>
        <c:varyColors val="0"/>
        <c:ser>
          <c:idx val="0"/>
          <c:order val="0"/>
          <c:tx>
            <c:strRef>
              <c:f>'Final Data'!$A$2</c:f>
              <c:strCache>
                <c:ptCount val="1"/>
                <c:pt idx="0">
                  <c:v>Planned Effort</c:v>
                </c:pt>
              </c:strCache>
            </c:strRef>
          </c:tx>
          <c:spPr>
            <a:ln w="22225" cap="rnd" cmpd="sng" algn="ctr">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[0]!Date</c:f>
              <c:strCache>
                <c:ptCount val="15"/>
                <c:pt idx="0">
                  <c:v>Day 0</c:v>
                </c:pt>
                <c:pt idx="1">
                  <c:v>1-Nov-18</c:v>
                </c:pt>
                <c:pt idx="2">
                  <c:v>2-Nov-18</c:v>
                </c:pt>
                <c:pt idx="3">
                  <c:v>3-Nov-18</c:v>
                </c:pt>
                <c:pt idx="4">
                  <c:v>4-Nov-18</c:v>
                </c:pt>
                <c:pt idx="5">
                  <c:v>5-Nov-18</c:v>
                </c:pt>
                <c:pt idx="6">
                  <c:v>6-Nov-18</c:v>
                </c:pt>
                <c:pt idx="7">
                  <c:v>7-Nov-18</c:v>
                </c:pt>
                <c:pt idx="8">
                  <c:v>8-Nov-18</c:v>
                </c:pt>
                <c:pt idx="9">
                  <c:v>9-Nov-18</c:v>
                </c:pt>
                <c:pt idx="10">
                  <c:v>10-Nov-18</c:v>
                </c:pt>
                <c:pt idx="11">
                  <c:v>11-Nov-18</c:v>
                </c:pt>
                <c:pt idx="12">
                  <c:v>12-Nov-18</c:v>
                </c:pt>
                <c:pt idx="13">
                  <c:v>13-Nov-18</c:v>
                </c:pt>
                <c:pt idx="14">
                  <c:v>14-Nov-18</c:v>
                </c:pt>
              </c:strCache>
            </c:strRef>
          </c:cat>
          <c:val>
            <c:numRef>
              <c:f>[0]!PlannedE</c:f>
              <c:numCache>
                <c:formatCode>0</c:formatCode>
                <c:ptCount val="15"/>
                <c:pt idx="0">
                  <c:v>600</c:v>
                </c:pt>
                <c:pt idx="1">
                  <c:v>557.14285714285711</c:v>
                </c:pt>
                <c:pt idx="2">
                  <c:v>514.28571428571422</c:v>
                </c:pt>
                <c:pt idx="3">
                  <c:v>471.42857142857139</c:v>
                </c:pt>
                <c:pt idx="4">
                  <c:v>428.57142857142856</c:v>
                </c:pt>
                <c:pt idx="5">
                  <c:v>385.71428571428572</c:v>
                </c:pt>
                <c:pt idx="6">
                  <c:v>342.85714285714289</c:v>
                </c:pt>
                <c:pt idx="7">
                  <c:v>300.00000000000006</c:v>
                </c:pt>
                <c:pt idx="8">
                  <c:v>257.14285714285722</c:v>
                </c:pt>
                <c:pt idx="9">
                  <c:v>214.28571428571436</c:v>
                </c:pt>
                <c:pt idx="10">
                  <c:v>171.4285714285715</c:v>
                </c:pt>
                <c:pt idx="11">
                  <c:v>128.57142857142864</c:v>
                </c:pt>
                <c:pt idx="12">
                  <c:v>85.714285714285779</c:v>
                </c:pt>
                <c:pt idx="13">
                  <c:v>42.857142857142925</c:v>
                </c:pt>
                <c:pt idx="14">
                  <c:v>7.1054273576010019E-14</c:v>
                </c:pt>
              </c:numCache>
            </c:numRef>
          </c:val>
          <c:smooth val="0"/>
          <c:extLst>
            <c:ext xmlns:c16="http://schemas.microsoft.com/office/drawing/2014/chart" uri="{C3380CC4-5D6E-409C-BE32-E72D297353CC}">
              <c16:uniqueId val="{00000000-23A1-48C4-99B6-F50EEE570237}"/>
            </c:ext>
          </c:extLst>
        </c:ser>
        <c:ser>
          <c:idx val="1"/>
          <c:order val="1"/>
          <c:tx>
            <c:strRef>
              <c:f>'Final Data'!$A$3</c:f>
              <c:strCache>
                <c:ptCount val="1"/>
                <c:pt idx="0">
                  <c:v>Hours Remaining</c:v>
                </c:pt>
              </c:strCache>
            </c:strRef>
          </c:tx>
          <c:spPr>
            <a:ln w="22225" cap="rnd" cmpd="sng" algn="ctr">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[0]!Date</c:f>
              <c:strCache>
                <c:ptCount val="15"/>
                <c:pt idx="0">
                  <c:v>Day 0</c:v>
                </c:pt>
                <c:pt idx="1">
                  <c:v>1-Nov-18</c:v>
                </c:pt>
                <c:pt idx="2">
                  <c:v>2-Nov-18</c:v>
                </c:pt>
                <c:pt idx="3">
                  <c:v>3-Nov-18</c:v>
                </c:pt>
                <c:pt idx="4">
                  <c:v>4-Nov-18</c:v>
                </c:pt>
                <c:pt idx="5">
                  <c:v>5-Nov-18</c:v>
                </c:pt>
                <c:pt idx="6">
                  <c:v>6-Nov-18</c:v>
                </c:pt>
                <c:pt idx="7">
                  <c:v>7-Nov-18</c:v>
                </c:pt>
                <c:pt idx="8">
                  <c:v>8-Nov-18</c:v>
                </c:pt>
                <c:pt idx="9">
                  <c:v>9-Nov-18</c:v>
                </c:pt>
                <c:pt idx="10">
                  <c:v>10-Nov-18</c:v>
                </c:pt>
                <c:pt idx="11">
                  <c:v>11-Nov-18</c:v>
                </c:pt>
                <c:pt idx="12">
                  <c:v>12-Nov-18</c:v>
                </c:pt>
                <c:pt idx="13">
                  <c:v>13-Nov-18</c:v>
                </c:pt>
                <c:pt idx="14">
                  <c:v>14-Nov-18</c:v>
                </c:pt>
              </c:strCache>
            </c:strRef>
          </c:cat>
          <c:val>
            <c:numRef>
              <c:f>[0]!HoursR</c:f>
              <c:numCache>
                <c:formatCode>0</c:formatCode>
                <c:ptCount val="15"/>
                <c:pt idx="0">
                  <c:v>600</c:v>
                </c:pt>
                <c:pt idx="1">
                  <c:v>480</c:v>
                </c:pt>
                <c:pt idx="2">
                  <c:v>420</c:v>
                </c:pt>
                <c:pt idx="3">
                  <c:v>360</c:v>
                </c:pt>
                <c:pt idx="4">
                  <c:v>300</c:v>
                </c:pt>
                <c:pt idx="5">
                  <c:v>240</c:v>
                </c:pt>
                <c:pt idx="6">
                  <c:v>180</c:v>
                </c:pt>
                <c:pt idx="7">
                  <c:v>120</c:v>
                </c:pt>
                <c:pt idx="8">
                  <c:v>60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1-23A1-48C4-99B6-F50EEE570237}"/>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smooth val="0"/>
        <c:axId val="469106496"/>
        <c:axId val="469725096"/>
      </c:lineChart>
      <c:catAx>
        <c:axId val="469106496"/>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5400000" spcFirstLastPara="1" vertOverflow="ellipsis"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469725096"/>
        <c:crosses val="autoZero"/>
        <c:auto val="1"/>
        <c:lblAlgn val="ctr"/>
        <c:lblOffset val="100"/>
        <c:noMultiLvlLbl val="0"/>
      </c:catAx>
      <c:valAx>
        <c:axId val="469725096"/>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469106496"/>
        <c:crosses val="autoZero"/>
        <c:crossBetween val="midCat"/>
      </c:valAx>
      <c:spPr>
        <a:gradFill>
          <a:gsLst>
            <a:gs pos="100000">
              <a:schemeClr val="lt1">
                <a:lumMod val="95000"/>
              </a:schemeClr>
            </a:gs>
            <a:gs pos="0">
              <a:schemeClr val="lt1"/>
            </a:gs>
          </a:gsLst>
          <a:lin ang="5400000" scaled="0"/>
        </a:gra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rgbClr val="C00000"/>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sz="1400" b="1" i="0" baseline="0">
                <a:effectLst/>
              </a:rPr>
              <a:t>YAVATAN DCMS System</a:t>
            </a:r>
            <a:endParaRPr lang="en-US" sz="1100">
              <a:effectLst/>
            </a:endParaRPr>
          </a:p>
          <a:p>
            <a:pPr>
              <a:defRPr/>
            </a:pPr>
            <a:r>
              <a:rPr lang="en-US" sz="1400" b="1" i="0" baseline="0">
                <a:effectLst/>
              </a:rPr>
              <a:t>(Sprint 1 - Analytics)</a:t>
            </a:r>
            <a:endParaRPr lang="en-US" sz="1100" b="1"/>
          </a:p>
        </c:rich>
      </c:tx>
      <c:layout>
        <c:manualLayout>
          <c:xMode val="edge"/>
          <c:yMode val="edge"/>
          <c:x val="0.57643829568032956"/>
          <c:y val="3.5366931918656058E-2"/>
        </c:manualLayout>
      </c:layout>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US"/>
        </a:p>
      </c:txPr>
    </c:title>
    <c:autoTitleDeleted val="0"/>
    <c:plotArea>
      <c:layout>
        <c:manualLayout>
          <c:layoutTarget val="inner"/>
          <c:xMode val="edge"/>
          <c:yMode val="edge"/>
          <c:x val="8.3341918708759538E-2"/>
          <c:y val="1.9425356976266562E-2"/>
          <c:w val="0.91665808129124049"/>
          <c:h val="0.54672570437979073"/>
        </c:manualLayout>
      </c:layout>
      <c:areaChart>
        <c:grouping val="stacked"/>
        <c:varyColors val="0"/>
        <c:ser>
          <c:idx val="1"/>
          <c:order val="1"/>
          <c:tx>
            <c:strRef>
              <c:f>'Final Data'!$A$3</c:f>
              <c:strCache>
                <c:ptCount val="1"/>
                <c:pt idx="0">
                  <c:v>Hours Remaining</c:v>
                </c:pt>
              </c:strCache>
            </c:strRef>
          </c:tx>
          <c:spPr>
            <a:solidFill>
              <a:srgbClr val="FFFF00"/>
            </a:solidFill>
            <a:ln w="9525" cap="flat" cmpd="sng" algn="ctr">
              <a:solidFill>
                <a:schemeClr val="accent2">
                  <a:shade val="95000"/>
                </a:schemeClr>
              </a:solidFill>
              <a:round/>
            </a:ln>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[0]!Date</c:f>
              <c:strCache>
                <c:ptCount val="15"/>
                <c:pt idx="0">
                  <c:v>Day 0</c:v>
                </c:pt>
                <c:pt idx="1">
                  <c:v>1-Nov-18</c:v>
                </c:pt>
                <c:pt idx="2">
                  <c:v>2-Nov-18</c:v>
                </c:pt>
                <c:pt idx="3">
                  <c:v>3-Nov-18</c:v>
                </c:pt>
                <c:pt idx="4">
                  <c:v>4-Nov-18</c:v>
                </c:pt>
                <c:pt idx="5">
                  <c:v>5-Nov-18</c:v>
                </c:pt>
                <c:pt idx="6">
                  <c:v>6-Nov-18</c:v>
                </c:pt>
                <c:pt idx="7">
                  <c:v>7-Nov-18</c:v>
                </c:pt>
                <c:pt idx="8">
                  <c:v>8-Nov-18</c:v>
                </c:pt>
                <c:pt idx="9">
                  <c:v>9-Nov-18</c:v>
                </c:pt>
                <c:pt idx="10">
                  <c:v>10-Nov-18</c:v>
                </c:pt>
                <c:pt idx="11">
                  <c:v>11-Nov-18</c:v>
                </c:pt>
                <c:pt idx="12">
                  <c:v>12-Nov-18</c:v>
                </c:pt>
                <c:pt idx="13">
                  <c:v>13-Nov-18</c:v>
                </c:pt>
                <c:pt idx="14">
                  <c:v>14-Nov-18</c:v>
                </c:pt>
              </c:strCache>
            </c:strRef>
          </c:cat>
          <c:val>
            <c:numRef>
              <c:f>[0]!HoursR</c:f>
              <c:numCache>
                <c:formatCode>0</c:formatCode>
                <c:ptCount val="15"/>
                <c:pt idx="0">
                  <c:v>600</c:v>
                </c:pt>
                <c:pt idx="1">
                  <c:v>480</c:v>
                </c:pt>
                <c:pt idx="2">
                  <c:v>420</c:v>
                </c:pt>
                <c:pt idx="3">
                  <c:v>360</c:v>
                </c:pt>
                <c:pt idx="4">
                  <c:v>300</c:v>
                </c:pt>
                <c:pt idx="5">
                  <c:v>240</c:v>
                </c:pt>
                <c:pt idx="6">
                  <c:v>180</c:v>
                </c:pt>
                <c:pt idx="7">
                  <c:v>120</c:v>
                </c:pt>
                <c:pt idx="8">
                  <c:v>60</c:v>
                </c:pt>
                <c:pt idx="9">
                  <c:v>0</c:v>
                </c:pt>
                <c:pt idx="10">
                  <c:v>0</c:v>
                </c:pt>
                <c:pt idx="11">
                  <c:v>0</c:v>
                </c:pt>
                <c:pt idx="12">
                  <c:v>0</c:v>
                </c:pt>
                <c:pt idx="13">
                  <c:v>0</c:v>
                </c:pt>
                <c:pt idx="14">
                  <c:v>0</c:v>
                </c:pt>
              </c:numCache>
            </c:numRef>
          </c:val>
          <c:extLst>
            <c:ext xmlns:c16="http://schemas.microsoft.com/office/drawing/2014/chart" uri="{C3380CC4-5D6E-409C-BE32-E72D297353CC}">
              <c16:uniqueId val="{00000000-5946-4595-A082-F4236752EF33}"/>
            </c:ext>
          </c:extLst>
        </c:ser>
        <c:dLbls>
          <c:showLegendKey val="0"/>
          <c:showVal val="0"/>
          <c:showCatName val="0"/>
          <c:showSerName val="0"/>
          <c:showPercent val="0"/>
          <c:showBubbleSize val="0"/>
        </c:dLbls>
        <c:axId val="467268456"/>
        <c:axId val="467271592"/>
      </c:areaChart>
      <c:lineChart>
        <c:grouping val="standard"/>
        <c:varyColors val="0"/>
        <c:ser>
          <c:idx val="0"/>
          <c:order val="0"/>
          <c:tx>
            <c:strRef>
              <c:f>'Final Data'!$A$2</c:f>
              <c:strCache>
                <c:ptCount val="1"/>
                <c:pt idx="0">
                  <c:v>Planned Effort</c:v>
                </c:pt>
              </c:strCache>
            </c:strRef>
          </c:tx>
          <c:spPr>
            <a:ln w="22225" cap="rnd" cmpd="sng" algn="ctr">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[0]!Date</c:f>
              <c:strCache>
                <c:ptCount val="15"/>
                <c:pt idx="0">
                  <c:v>Day 0</c:v>
                </c:pt>
                <c:pt idx="1">
                  <c:v>1-Nov-18</c:v>
                </c:pt>
                <c:pt idx="2">
                  <c:v>2-Nov-18</c:v>
                </c:pt>
                <c:pt idx="3">
                  <c:v>3-Nov-18</c:v>
                </c:pt>
                <c:pt idx="4">
                  <c:v>4-Nov-18</c:v>
                </c:pt>
                <c:pt idx="5">
                  <c:v>5-Nov-18</c:v>
                </c:pt>
                <c:pt idx="6">
                  <c:v>6-Nov-18</c:v>
                </c:pt>
                <c:pt idx="7">
                  <c:v>7-Nov-18</c:v>
                </c:pt>
                <c:pt idx="8">
                  <c:v>8-Nov-18</c:v>
                </c:pt>
                <c:pt idx="9">
                  <c:v>9-Nov-18</c:v>
                </c:pt>
                <c:pt idx="10">
                  <c:v>10-Nov-18</c:v>
                </c:pt>
                <c:pt idx="11">
                  <c:v>11-Nov-18</c:v>
                </c:pt>
                <c:pt idx="12">
                  <c:v>12-Nov-18</c:v>
                </c:pt>
                <c:pt idx="13">
                  <c:v>13-Nov-18</c:v>
                </c:pt>
                <c:pt idx="14">
                  <c:v>14-Nov-18</c:v>
                </c:pt>
              </c:strCache>
            </c:strRef>
          </c:cat>
          <c:val>
            <c:numRef>
              <c:f>[0]!PlannedE</c:f>
              <c:numCache>
                <c:formatCode>0</c:formatCode>
                <c:ptCount val="15"/>
                <c:pt idx="0">
                  <c:v>600</c:v>
                </c:pt>
                <c:pt idx="1">
                  <c:v>557.14285714285711</c:v>
                </c:pt>
                <c:pt idx="2">
                  <c:v>514.28571428571422</c:v>
                </c:pt>
                <c:pt idx="3">
                  <c:v>471.42857142857139</c:v>
                </c:pt>
                <c:pt idx="4">
                  <c:v>428.57142857142856</c:v>
                </c:pt>
                <c:pt idx="5">
                  <c:v>385.71428571428572</c:v>
                </c:pt>
                <c:pt idx="6">
                  <c:v>342.85714285714289</c:v>
                </c:pt>
                <c:pt idx="7">
                  <c:v>300.00000000000006</c:v>
                </c:pt>
                <c:pt idx="8">
                  <c:v>257.14285714285722</c:v>
                </c:pt>
                <c:pt idx="9">
                  <c:v>214.28571428571436</c:v>
                </c:pt>
                <c:pt idx="10">
                  <c:v>171.4285714285715</c:v>
                </c:pt>
                <c:pt idx="11">
                  <c:v>128.57142857142864</c:v>
                </c:pt>
                <c:pt idx="12">
                  <c:v>85.714285714285779</c:v>
                </c:pt>
                <c:pt idx="13">
                  <c:v>42.857142857142925</c:v>
                </c:pt>
                <c:pt idx="14">
                  <c:v>7.1054273576010019E-14</c:v>
                </c:pt>
              </c:numCache>
            </c:numRef>
          </c:val>
          <c:smooth val="0"/>
          <c:extLst>
            <c:ext xmlns:c16="http://schemas.microsoft.com/office/drawing/2014/chart" uri="{C3380CC4-5D6E-409C-BE32-E72D297353CC}">
              <c16:uniqueId val="{00000001-5946-4595-A082-F4236752EF33}"/>
            </c:ext>
          </c:extLst>
        </c:ser>
        <c:dLbls>
          <c:showLegendKey val="0"/>
          <c:showVal val="0"/>
          <c:showCatName val="0"/>
          <c:showSerName val="0"/>
          <c:showPercent val="0"/>
          <c:showBubbleSize val="0"/>
        </c:dLbls>
        <c:marker val="1"/>
        <c:smooth val="0"/>
        <c:axId val="467268456"/>
        <c:axId val="467271592"/>
      </c:lineChart>
      <c:catAx>
        <c:axId val="467268456"/>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5400000" spcFirstLastPara="1" vertOverflow="ellipsis"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467271592"/>
        <c:crosses val="autoZero"/>
        <c:auto val="1"/>
        <c:lblAlgn val="ctr"/>
        <c:lblOffset val="100"/>
        <c:noMultiLvlLbl val="0"/>
      </c:catAx>
      <c:valAx>
        <c:axId val="467271592"/>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467268456"/>
        <c:crosses val="autoZero"/>
        <c:crossBetween val="between"/>
      </c:valAx>
      <c:spPr>
        <a:gradFill>
          <a:gsLst>
            <a:gs pos="100000">
              <a:schemeClr val="lt1">
                <a:lumMod val="95000"/>
              </a:schemeClr>
            </a:gs>
            <a:gs pos="0">
              <a:schemeClr val="lt1"/>
            </a:gs>
          </a:gsLst>
          <a:lin ang="5400000" scaled="0"/>
        </a:gra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rgbClr val="C00000"/>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sz="1400" b="1" i="0" baseline="0">
                <a:effectLst/>
              </a:rPr>
              <a:t>YAVATAN DCMS System</a:t>
            </a:r>
            <a:endParaRPr lang="en-US" sz="1200">
              <a:effectLst/>
            </a:endParaRPr>
          </a:p>
          <a:p>
            <a:pPr>
              <a:defRPr/>
            </a:pPr>
            <a:r>
              <a:rPr lang="en-US" sz="1400" b="1" i="0" baseline="0">
                <a:effectLst/>
              </a:rPr>
              <a:t>(Sprint 1 - Analytics)</a:t>
            </a:r>
            <a:endParaRPr lang="en-US" sz="1050">
              <a:effectLst/>
            </a:endParaRP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US"/>
        </a:p>
      </c:txPr>
    </c:title>
    <c:autoTitleDeleted val="0"/>
    <c:plotArea>
      <c:layout/>
      <c:barChart>
        <c:barDir val="col"/>
        <c:grouping val="clustered"/>
        <c:varyColors val="0"/>
        <c:ser>
          <c:idx val="1"/>
          <c:order val="1"/>
          <c:tx>
            <c:strRef>
              <c:f>'Final Data'!$A$3</c:f>
              <c:strCache>
                <c:ptCount val="1"/>
                <c:pt idx="0">
                  <c:v>Hours Remaining</c:v>
                </c:pt>
              </c:strCache>
            </c:strRef>
          </c:tx>
          <c:spPr>
            <a:solidFill>
              <a:srgbClr val="FFC000"/>
            </a:solidFill>
            <a:ln w="9525" cap="flat" cmpd="sng" algn="ctr">
              <a:solidFill>
                <a:schemeClr val="accent2">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'Final Data'!$B$1:$P$1</c:f>
              <c:strCache>
                <c:ptCount val="15"/>
                <c:pt idx="0">
                  <c:v>Day 0</c:v>
                </c:pt>
                <c:pt idx="1">
                  <c:v>1-Nov-18</c:v>
                </c:pt>
                <c:pt idx="2">
                  <c:v>2-Nov-18</c:v>
                </c:pt>
                <c:pt idx="3">
                  <c:v>3-Nov-18</c:v>
                </c:pt>
                <c:pt idx="4">
                  <c:v>4-Nov-18</c:v>
                </c:pt>
                <c:pt idx="5">
                  <c:v>5-Nov-18</c:v>
                </c:pt>
                <c:pt idx="6">
                  <c:v>6-Nov-18</c:v>
                </c:pt>
                <c:pt idx="7">
                  <c:v>7-Nov-18</c:v>
                </c:pt>
                <c:pt idx="8">
                  <c:v>8-Nov-18</c:v>
                </c:pt>
                <c:pt idx="9">
                  <c:v>9-Nov-18</c:v>
                </c:pt>
                <c:pt idx="10">
                  <c:v>10-Nov-18</c:v>
                </c:pt>
                <c:pt idx="11">
                  <c:v>11-Nov-18</c:v>
                </c:pt>
                <c:pt idx="12">
                  <c:v>12-Nov-18</c:v>
                </c:pt>
                <c:pt idx="13">
                  <c:v>13-Nov-18</c:v>
                </c:pt>
                <c:pt idx="14">
                  <c:v>14-Nov-18</c:v>
                </c:pt>
              </c:strCache>
            </c:strRef>
          </c:cat>
          <c:val>
            <c:numRef>
              <c:f>'Final Data'!$B$3:$P$3</c:f>
              <c:numCache>
                <c:formatCode>0</c:formatCode>
                <c:ptCount val="15"/>
                <c:pt idx="0">
                  <c:v>600</c:v>
                </c:pt>
                <c:pt idx="1">
                  <c:v>480</c:v>
                </c:pt>
                <c:pt idx="2">
                  <c:v>420</c:v>
                </c:pt>
                <c:pt idx="3">
                  <c:v>360</c:v>
                </c:pt>
                <c:pt idx="4">
                  <c:v>300</c:v>
                </c:pt>
                <c:pt idx="5">
                  <c:v>240</c:v>
                </c:pt>
                <c:pt idx="6">
                  <c:v>180</c:v>
                </c:pt>
                <c:pt idx="7">
                  <c:v>120</c:v>
                </c:pt>
                <c:pt idx="8">
                  <c:v>60</c:v>
                </c:pt>
                <c:pt idx="9">
                  <c:v>0</c:v>
                </c:pt>
                <c:pt idx="10">
                  <c:v>0</c:v>
                </c:pt>
                <c:pt idx="11">
                  <c:v>0</c:v>
                </c:pt>
                <c:pt idx="12">
                  <c:v>0</c:v>
                </c:pt>
                <c:pt idx="13">
                  <c:v>0</c:v>
                </c:pt>
                <c:pt idx="14">
                  <c:v>0</c:v>
                </c:pt>
              </c:numCache>
            </c:numRef>
          </c:val>
          <c:extLst>
            <c:ext xmlns:c16="http://schemas.microsoft.com/office/drawing/2014/chart" uri="{C3380CC4-5D6E-409C-BE32-E72D297353CC}">
              <c16:uniqueId val="{00000000-1638-4698-8BFA-739B03A90391}"/>
            </c:ext>
          </c:extLst>
        </c:ser>
        <c:dLbls>
          <c:showLegendKey val="0"/>
          <c:showVal val="0"/>
          <c:showCatName val="0"/>
          <c:showSerName val="0"/>
          <c:showPercent val="0"/>
          <c:showBubbleSize val="0"/>
        </c:dLbls>
        <c:gapWidth val="150"/>
        <c:axId val="469725880"/>
        <c:axId val="469724312"/>
      </c:barChart>
      <c:lineChart>
        <c:grouping val="standard"/>
        <c:varyColors val="0"/>
        <c:ser>
          <c:idx val="0"/>
          <c:order val="0"/>
          <c:tx>
            <c:strRef>
              <c:f>'Final Data'!$A$2</c:f>
              <c:strCache>
                <c:ptCount val="1"/>
                <c:pt idx="0">
                  <c:v>Planned Effort</c:v>
                </c:pt>
              </c:strCache>
            </c:strRef>
          </c:tx>
          <c:spPr>
            <a:ln w="22225" cap="rnd" cmpd="sng" algn="ctr">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'Final Data'!$B$1:$P$1</c:f>
              <c:strCache>
                <c:ptCount val="15"/>
                <c:pt idx="0">
                  <c:v>Day 0</c:v>
                </c:pt>
                <c:pt idx="1">
                  <c:v>1-Nov-18</c:v>
                </c:pt>
                <c:pt idx="2">
                  <c:v>2-Nov-18</c:v>
                </c:pt>
                <c:pt idx="3">
                  <c:v>3-Nov-18</c:v>
                </c:pt>
                <c:pt idx="4">
                  <c:v>4-Nov-18</c:v>
                </c:pt>
                <c:pt idx="5">
                  <c:v>5-Nov-18</c:v>
                </c:pt>
                <c:pt idx="6">
                  <c:v>6-Nov-18</c:v>
                </c:pt>
                <c:pt idx="7">
                  <c:v>7-Nov-18</c:v>
                </c:pt>
                <c:pt idx="8">
                  <c:v>8-Nov-18</c:v>
                </c:pt>
                <c:pt idx="9">
                  <c:v>9-Nov-18</c:v>
                </c:pt>
                <c:pt idx="10">
                  <c:v>10-Nov-18</c:v>
                </c:pt>
                <c:pt idx="11">
                  <c:v>11-Nov-18</c:v>
                </c:pt>
                <c:pt idx="12">
                  <c:v>12-Nov-18</c:v>
                </c:pt>
                <c:pt idx="13">
                  <c:v>13-Nov-18</c:v>
                </c:pt>
                <c:pt idx="14">
                  <c:v>14-Nov-18</c:v>
                </c:pt>
              </c:strCache>
            </c:strRef>
          </c:cat>
          <c:val>
            <c:numRef>
              <c:f>'Final Data'!$B$2:$P$2</c:f>
              <c:numCache>
                <c:formatCode>0</c:formatCode>
                <c:ptCount val="15"/>
                <c:pt idx="0">
                  <c:v>600</c:v>
                </c:pt>
                <c:pt idx="1">
                  <c:v>557.14285714285711</c:v>
                </c:pt>
                <c:pt idx="2">
                  <c:v>514.28571428571422</c:v>
                </c:pt>
                <c:pt idx="3">
                  <c:v>471.42857142857139</c:v>
                </c:pt>
                <c:pt idx="4">
                  <c:v>428.57142857142856</c:v>
                </c:pt>
                <c:pt idx="5">
                  <c:v>385.71428571428572</c:v>
                </c:pt>
                <c:pt idx="6">
                  <c:v>342.85714285714289</c:v>
                </c:pt>
                <c:pt idx="7">
                  <c:v>300.00000000000006</c:v>
                </c:pt>
                <c:pt idx="8">
                  <c:v>257.14285714285722</c:v>
                </c:pt>
                <c:pt idx="9">
                  <c:v>214.28571428571436</c:v>
                </c:pt>
                <c:pt idx="10">
                  <c:v>171.4285714285715</c:v>
                </c:pt>
                <c:pt idx="11">
                  <c:v>128.57142857142864</c:v>
                </c:pt>
                <c:pt idx="12">
                  <c:v>85.714285714285779</c:v>
                </c:pt>
                <c:pt idx="13">
                  <c:v>42.857142857142925</c:v>
                </c:pt>
                <c:pt idx="14">
                  <c:v>7.1054273576010019E-14</c:v>
                </c:pt>
              </c:numCache>
            </c:numRef>
          </c:val>
          <c:smooth val="0"/>
          <c:extLst>
            <c:ext xmlns:c16="http://schemas.microsoft.com/office/drawing/2014/chart" uri="{C3380CC4-5D6E-409C-BE32-E72D297353CC}">
              <c16:uniqueId val="{00000001-1638-4698-8BFA-739B03A90391}"/>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469725880"/>
        <c:axId val="469724312"/>
      </c:lineChart>
      <c:catAx>
        <c:axId val="469725880"/>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5400000" spcFirstLastPara="1" vertOverflow="ellipsis"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469724312"/>
        <c:crosses val="autoZero"/>
        <c:auto val="1"/>
        <c:lblAlgn val="ctr"/>
        <c:lblOffset val="100"/>
        <c:noMultiLvlLbl val="0"/>
      </c:catAx>
      <c:valAx>
        <c:axId val="469724312"/>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469725880"/>
        <c:crosses val="autoZero"/>
        <c:crossBetween val="between"/>
      </c:valAx>
      <c:spPr>
        <a:gradFill>
          <a:gsLst>
            <a:gs pos="100000">
              <a:schemeClr val="lt1">
                <a:lumMod val="95000"/>
              </a:schemeClr>
            </a:gs>
            <a:gs pos="0">
              <a:schemeClr val="lt1"/>
            </a:gs>
          </a:gsLst>
          <a:lin ang="5400000" scaled="0"/>
        </a:gra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rgbClr val="C00000"/>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sz="1400" b="1" i="0" baseline="0">
                <a:effectLst/>
              </a:rPr>
              <a:t>YAVATAN DCMS System</a:t>
            </a:r>
            <a:endParaRPr lang="en-US" sz="1200">
              <a:effectLst/>
            </a:endParaRPr>
          </a:p>
          <a:p>
            <a:pPr>
              <a:defRPr/>
            </a:pPr>
            <a:r>
              <a:rPr lang="en-US" sz="1400" b="1" i="0" baseline="0">
                <a:effectLst/>
              </a:rPr>
              <a:t>(Sprint 1 - Analytics)</a:t>
            </a:r>
            <a:endParaRPr lang="en-US" sz="1050">
              <a:effectLst/>
            </a:endParaRP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US"/>
        </a:p>
      </c:txPr>
    </c:title>
    <c:autoTitleDeleted val="0"/>
    <c:plotArea>
      <c:layout>
        <c:manualLayout>
          <c:layoutTarget val="inner"/>
          <c:xMode val="edge"/>
          <c:yMode val="edge"/>
          <c:x val="7.3059304932285921E-2"/>
          <c:y val="0.1845446507515473"/>
          <c:w val="0.9026919711329443"/>
          <c:h val="0.55180071987022838"/>
        </c:manualLayout>
      </c:layout>
      <c:barChart>
        <c:barDir val="col"/>
        <c:grouping val="clustered"/>
        <c:varyColors val="0"/>
        <c:ser>
          <c:idx val="0"/>
          <c:order val="0"/>
          <c:tx>
            <c:strRef>
              <c:f>'Final Data'!$A$2</c:f>
              <c:strCache>
                <c:ptCount val="1"/>
                <c:pt idx="0">
                  <c:v>Planned Effort</c:v>
                </c:pt>
              </c:strCache>
            </c:strRef>
          </c:tx>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'Final Data'!$B$1:$P$1</c:f>
              <c:strCache>
                <c:ptCount val="15"/>
                <c:pt idx="0">
                  <c:v>Day 0</c:v>
                </c:pt>
                <c:pt idx="1">
                  <c:v>1-Nov-18</c:v>
                </c:pt>
                <c:pt idx="2">
                  <c:v>2-Nov-18</c:v>
                </c:pt>
                <c:pt idx="3">
                  <c:v>3-Nov-18</c:v>
                </c:pt>
                <c:pt idx="4">
                  <c:v>4-Nov-18</c:v>
                </c:pt>
                <c:pt idx="5">
                  <c:v>5-Nov-18</c:v>
                </c:pt>
                <c:pt idx="6">
                  <c:v>6-Nov-18</c:v>
                </c:pt>
                <c:pt idx="7">
                  <c:v>7-Nov-18</c:v>
                </c:pt>
                <c:pt idx="8">
                  <c:v>8-Nov-18</c:v>
                </c:pt>
                <c:pt idx="9">
                  <c:v>9-Nov-18</c:v>
                </c:pt>
                <c:pt idx="10">
                  <c:v>10-Nov-18</c:v>
                </c:pt>
                <c:pt idx="11">
                  <c:v>11-Nov-18</c:v>
                </c:pt>
                <c:pt idx="12">
                  <c:v>12-Nov-18</c:v>
                </c:pt>
                <c:pt idx="13">
                  <c:v>13-Nov-18</c:v>
                </c:pt>
                <c:pt idx="14">
                  <c:v>14-Nov-18</c:v>
                </c:pt>
              </c:strCache>
            </c:strRef>
          </c:cat>
          <c:val>
            <c:numRef>
              <c:f>'Final Data'!$B$2:$P$2</c:f>
              <c:numCache>
                <c:formatCode>0</c:formatCode>
                <c:ptCount val="15"/>
                <c:pt idx="0">
                  <c:v>600</c:v>
                </c:pt>
                <c:pt idx="1">
                  <c:v>557.14285714285711</c:v>
                </c:pt>
                <c:pt idx="2">
                  <c:v>514.28571428571422</c:v>
                </c:pt>
                <c:pt idx="3">
                  <c:v>471.42857142857139</c:v>
                </c:pt>
                <c:pt idx="4">
                  <c:v>428.57142857142856</c:v>
                </c:pt>
                <c:pt idx="5">
                  <c:v>385.71428571428572</c:v>
                </c:pt>
                <c:pt idx="6">
                  <c:v>342.85714285714289</c:v>
                </c:pt>
                <c:pt idx="7">
                  <c:v>300.00000000000006</c:v>
                </c:pt>
                <c:pt idx="8">
                  <c:v>257.14285714285722</c:v>
                </c:pt>
                <c:pt idx="9">
                  <c:v>214.28571428571436</c:v>
                </c:pt>
                <c:pt idx="10">
                  <c:v>171.4285714285715</c:v>
                </c:pt>
                <c:pt idx="11">
                  <c:v>128.57142857142864</c:v>
                </c:pt>
                <c:pt idx="12">
                  <c:v>85.714285714285779</c:v>
                </c:pt>
                <c:pt idx="13">
                  <c:v>42.857142857142925</c:v>
                </c:pt>
                <c:pt idx="14">
                  <c:v>7.1054273576010019E-14</c:v>
                </c:pt>
              </c:numCache>
            </c:numRef>
          </c:val>
          <c:extLst>
            <c:ext xmlns:c16="http://schemas.microsoft.com/office/drawing/2014/chart" uri="{C3380CC4-5D6E-409C-BE32-E72D297353CC}">
              <c16:uniqueId val="{00000000-C980-4C31-B832-1E419E4CA5B4}"/>
            </c:ext>
          </c:extLst>
        </c:ser>
        <c:ser>
          <c:idx val="1"/>
          <c:order val="1"/>
          <c:tx>
            <c:strRef>
              <c:f>'Final Data'!$A$3</c:f>
              <c:strCache>
                <c:ptCount val="1"/>
                <c:pt idx="0">
                  <c:v>Hours Remaining</c:v>
                </c:pt>
              </c:strCache>
            </c:strRef>
          </c:tx>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'Final Data'!$B$1:$P$1</c:f>
              <c:strCache>
                <c:ptCount val="15"/>
                <c:pt idx="0">
                  <c:v>Day 0</c:v>
                </c:pt>
                <c:pt idx="1">
                  <c:v>1-Nov-18</c:v>
                </c:pt>
                <c:pt idx="2">
                  <c:v>2-Nov-18</c:v>
                </c:pt>
                <c:pt idx="3">
                  <c:v>3-Nov-18</c:v>
                </c:pt>
                <c:pt idx="4">
                  <c:v>4-Nov-18</c:v>
                </c:pt>
                <c:pt idx="5">
                  <c:v>5-Nov-18</c:v>
                </c:pt>
                <c:pt idx="6">
                  <c:v>6-Nov-18</c:v>
                </c:pt>
                <c:pt idx="7">
                  <c:v>7-Nov-18</c:v>
                </c:pt>
                <c:pt idx="8">
                  <c:v>8-Nov-18</c:v>
                </c:pt>
                <c:pt idx="9">
                  <c:v>9-Nov-18</c:v>
                </c:pt>
                <c:pt idx="10">
                  <c:v>10-Nov-18</c:v>
                </c:pt>
                <c:pt idx="11">
                  <c:v>11-Nov-18</c:v>
                </c:pt>
                <c:pt idx="12">
                  <c:v>12-Nov-18</c:v>
                </c:pt>
                <c:pt idx="13">
                  <c:v>13-Nov-18</c:v>
                </c:pt>
                <c:pt idx="14">
                  <c:v>14-Nov-18</c:v>
                </c:pt>
              </c:strCache>
            </c:strRef>
          </c:cat>
          <c:val>
            <c:numRef>
              <c:f>'Final Data'!$B$3:$P$3</c:f>
              <c:numCache>
                <c:formatCode>0</c:formatCode>
                <c:ptCount val="15"/>
                <c:pt idx="0">
                  <c:v>600</c:v>
                </c:pt>
                <c:pt idx="1">
                  <c:v>480</c:v>
                </c:pt>
                <c:pt idx="2">
                  <c:v>420</c:v>
                </c:pt>
                <c:pt idx="3">
                  <c:v>360</c:v>
                </c:pt>
                <c:pt idx="4">
                  <c:v>300</c:v>
                </c:pt>
                <c:pt idx="5">
                  <c:v>240</c:v>
                </c:pt>
                <c:pt idx="6">
                  <c:v>180</c:v>
                </c:pt>
                <c:pt idx="7">
                  <c:v>120</c:v>
                </c:pt>
                <c:pt idx="8">
                  <c:v>60</c:v>
                </c:pt>
                <c:pt idx="9">
                  <c:v>0</c:v>
                </c:pt>
                <c:pt idx="10">
                  <c:v>0</c:v>
                </c:pt>
                <c:pt idx="11">
                  <c:v>0</c:v>
                </c:pt>
                <c:pt idx="12">
                  <c:v>0</c:v>
                </c:pt>
                <c:pt idx="13">
                  <c:v>0</c:v>
                </c:pt>
                <c:pt idx="14">
                  <c:v>0</c:v>
                </c:pt>
              </c:numCache>
            </c:numRef>
          </c:val>
          <c:extLst>
            <c:ext xmlns:c16="http://schemas.microsoft.com/office/drawing/2014/chart" uri="{C3380CC4-5D6E-409C-BE32-E72D297353CC}">
              <c16:uniqueId val="{00000001-C980-4C31-B832-1E419E4CA5B4}"/>
            </c:ext>
          </c:extLst>
        </c:ser>
        <c:dLbls>
          <c:showLegendKey val="0"/>
          <c:showVal val="0"/>
          <c:showCatName val="0"/>
          <c:showSerName val="0"/>
          <c:showPercent val="0"/>
          <c:showBubbleSize val="0"/>
        </c:dLbls>
        <c:gapWidth val="150"/>
        <c:axId val="467270808"/>
        <c:axId val="157314904"/>
      </c:barChart>
      <c:catAx>
        <c:axId val="467270808"/>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5400000" spcFirstLastPara="1" vertOverflow="ellipsis"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57314904"/>
        <c:crosses val="autoZero"/>
        <c:auto val="1"/>
        <c:lblAlgn val="ctr"/>
        <c:lblOffset val="100"/>
        <c:noMultiLvlLbl val="0"/>
      </c:catAx>
      <c:valAx>
        <c:axId val="157314904"/>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467270808"/>
        <c:crosses val="autoZero"/>
        <c:crossBetween val="between"/>
      </c:valAx>
      <c:spPr>
        <a:gradFill>
          <a:gsLst>
            <a:gs pos="100000">
              <a:schemeClr val="lt1">
                <a:lumMod val="95000"/>
              </a:schemeClr>
            </a:gs>
            <a:gs pos="0">
              <a:schemeClr val="lt1"/>
            </a:gs>
          </a:gsLst>
          <a:lin ang="5400000" scaled="0"/>
        </a:gra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rgbClr val="C00000"/>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3</xdr:row>
      <xdr:rowOff>27214</xdr:rowOff>
    </xdr:from>
    <xdr:to>
      <xdr:col>9</xdr:col>
      <xdr:colOff>0</xdr:colOff>
      <xdr:row>21</xdr:row>
      <xdr:rowOff>189139</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0</xdr:row>
      <xdr:rowOff>0</xdr:rowOff>
    </xdr:from>
    <xdr:to>
      <xdr:col>18</xdr:col>
      <xdr:colOff>590550</xdr:colOff>
      <xdr:row>2</xdr:row>
      <xdr:rowOff>114300</xdr:rowOff>
    </xdr:to>
    <xdr:sp macro="" textlink="">
      <xdr:nvSpPr>
        <xdr:cNvPr id="4" name="Rectangle 3">
          <a:extLst>
            <a:ext uri="{FF2B5EF4-FFF2-40B4-BE49-F238E27FC236}">
              <a16:creationId xmlns:a16="http://schemas.microsoft.com/office/drawing/2014/main" id="{00000000-0008-0000-0000-000004000000}"/>
            </a:ext>
          </a:extLst>
        </xdr:cNvPr>
        <xdr:cNvSpPr/>
      </xdr:nvSpPr>
      <xdr:spPr>
        <a:xfrm>
          <a:off x="8096250" y="0"/>
          <a:ext cx="4248150" cy="4953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You can customize</a:t>
          </a:r>
          <a:r>
            <a:rPr lang="en-US" sz="1100" b="1" baseline="0"/>
            <a:t> your Legend. For example, Planned Effort can be Planned Burndown, Planned Stories.....</a:t>
          </a:r>
          <a:endParaRPr lang="en-US" sz="1100" b="1"/>
        </a:p>
      </xdr:txBody>
    </xdr:sp>
    <xdr:clientData/>
  </xdr:twoCellAnchor>
  <xdr:twoCellAnchor>
    <xdr:from>
      <xdr:col>0</xdr:col>
      <xdr:colOff>0</xdr:colOff>
      <xdr:row>22</xdr:row>
      <xdr:rowOff>176893</xdr:rowOff>
    </xdr:from>
    <xdr:to>
      <xdr:col>8</xdr:col>
      <xdr:colOff>612321</xdr:colOff>
      <xdr:row>41</xdr:row>
      <xdr:rowOff>148318</xdr:rowOff>
    </xdr:to>
    <xdr:graphicFrame macro="">
      <xdr:nvGraphicFramePr>
        <xdr:cNvPr id="8" name="Chart 7">
          <a:extLst>
            <a:ext uri="{FF2B5EF4-FFF2-40B4-BE49-F238E27FC236}">
              <a16:creationId xmlns:a16="http://schemas.microsoft.com/office/drawing/2014/main" id="{00000000-0008-0000-0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0</xdr:colOff>
      <xdr:row>3</xdr:row>
      <xdr:rowOff>27214</xdr:rowOff>
    </xdr:from>
    <xdr:to>
      <xdr:col>18</xdr:col>
      <xdr:colOff>258535</xdr:colOff>
      <xdr:row>21</xdr:row>
      <xdr:rowOff>189139</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14968</xdr:colOff>
      <xdr:row>22</xdr:row>
      <xdr:rowOff>159204</xdr:rowOff>
    </xdr:from>
    <xdr:to>
      <xdr:col>18</xdr:col>
      <xdr:colOff>258535</xdr:colOff>
      <xdr:row>41</xdr:row>
      <xdr:rowOff>130629</xdr:rowOff>
    </xdr:to>
    <xdr:graphicFrame macro="">
      <xdr:nvGraphicFramePr>
        <xdr:cNvPr id="6" name="Chart 5">
          <a:extLst>
            <a:ext uri="{FF2B5EF4-FFF2-40B4-BE49-F238E27FC236}">
              <a16:creationId xmlns:a16="http://schemas.microsoft.com/office/drawing/2014/main" id="{00000000-0008-0000-00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0</xdr:row>
          <xdr:rowOff>123825</xdr:rowOff>
        </xdr:from>
        <xdr:to>
          <xdr:col>1</xdr:col>
          <xdr:colOff>838200</xdr:colOff>
          <xdr:row>0</xdr:row>
          <xdr:rowOff>495300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Calibri"/>
                  <a:cs typeface="Calibri"/>
                </a:rPr>
                <a:t>Clear Old Data</a:t>
              </a:r>
              <a:endParaRPr lang="en-US" sz="1100" b="0" i="0" u="none" strike="noStrike" baseline="0">
                <a:solidFill>
                  <a:srgbClr val="000000"/>
                </a:solidFill>
                <a:latin typeface="Calibri"/>
                <a:cs typeface="Calibri"/>
              </a:endParaRPr>
            </a:p>
            <a:p>
              <a:pPr algn="ctr" rtl="0">
                <a:defRPr sz="1000"/>
              </a:pPr>
              <a:r>
                <a:rPr lang="en-US" sz="1100" b="0" i="0" u="none" strike="noStrike" baseline="0">
                  <a:solidFill>
                    <a:srgbClr val="000000"/>
                  </a:solidFill>
                  <a:latin typeface="Calibri"/>
                  <a:cs typeface="Calibri"/>
                </a:rPr>
                <a:t> </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D1:X29"/>
  <sheetViews>
    <sheetView tabSelected="1" topLeftCell="A16" zoomScale="70" zoomScaleNormal="70" workbookViewId="0">
      <selection activeCell="X29" sqref="X29"/>
    </sheetView>
  </sheetViews>
  <sheetFormatPr defaultRowHeight="15" x14ac:dyDescent="0.25"/>
  <cols>
    <col min="10" max="10" width="2.42578125" customWidth="1"/>
    <col min="11" max="11" width="2.5703125" customWidth="1"/>
    <col min="12" max="12" width="20.85546875" bestFit="1" customWidth="1"/>
    <col min="19" max="19" width="4" customWidth="1"/>
  </cols>
  <sheetData>
    <row r="1" spans="4:12" x14ac:dyDescent="0.25">
      <c r="D1" s="13" t="s">
        <v>4</v>
      </c>
      <c r="E1" s="14"/>
      <c r="F1" s="14"/>
      <c r="G1" s="14"/>
      <c r="H1" s="14"/>
      <c r="I1" s="14"/>
      <c r="J1" s="15"/>
      <c r="L1" s="9" t="s">
        <v>7</v>
      </c>
    </row>
    <row r="2" spans="4:12" x14ac:dyDescent="0.25">
      <c r="D2" s="14"/>
      <c r="E2" s="14"/>
      <c r="F2" s="14"/>
      <c r="G2" s="14"/>
      <c r="H2" s="14"/>
      <c r="I2" s="14"/>
      <c r="J2" s="15"/>
      <c r="L2" s="1" t="s">
        <v>0</v>
      </c>
    </row>
    <row r="3" spans="4:12" x14ac:dyDescent="0.25">
      <c r="L3" s="1" t="s">
        <v>2</v>
      </c>
    </row>
    <row r="29" spans="24:24" x14ac:dyDescent="0.25">
      <c r="X29" s="19"/>
    </row>
  </sheetData>
  <mergeCells count="1">
    <mergeCell ref="D1:J2"/>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J203"/>
  <sheetViews>
    <sheetView zoomScale="70" zoomScaleNormal="70" workbookViewId="0">
      <pane ySplit="2" topLeftCell="A3" activePane="bottomLeft" state="frozen"/>
      <selection pane="bottomLeft" activeCell="O9" sqref="O9"/>
    </sheetView>
  </sheetViews>
  <sheetFormatPr defaultColWidth="0" defaultRowHeight="15" zeroHeight="1" x14ac:dyDescent="0.25"/>
  <cols>
    <col min="1" max="1" width="51.7109375" customWidth="1"/>
    <col min="2" max="2" width="13.85546875" customWidth="1"/>
    <col min="3" max="15" width="9.85546875" bestFit="1" customWidth="1"/>
    <col min="16" max="16" width="12.140625" bestFit="1" customWidth="1"/>
    <col min="17" max="62" width="9.140625" customWidth="1"/>
    <col min="63" max="16384" width="9.140625" hidden="1"/>
  </cols>
  <sheetData>
    <row r="1" spans="1:62" ht="60" customHeight="1" x14ac:dyDescent="0.25">
      <c r="C1" s="16" t="s">
        <v>9</v>
      </c>
      <c r="D1" s="16"/>
      <c r="E1" s="16"/>
      <c r="F1" s="16"/>
      <c r="G1" s="16"/>
      <c r="H1" s="16"/>
      <c r="I1" s="16"/>
      <c r="J1" s="16"/>
      <c r="K1" s="16"/>
      <c r="L1" s="16"/>
      <c r="M1" s="16"/>
      <c r="N1" s="17" t="s">
        <v>10</v>
      </c>
      <c r="O1" s="18"/>
      <c r="P1" s="18"/>
      <c r="Q1" s="18"/>
      <c r="R1" s="18"/>
      <c r="S1" s="18"/>
      <c r="T1" s="15"/>
    </row>
    <row r="2" spans="1:62" s="1" customFormat="1" ht="33.75" customHeight="1" thickBot="1" x14ac:dyDescent="0.3">
      <c r="A2" s="11" t="s">
        <v>8</v>
      </c>
      <c r="B2" s="11" t="str">
        <f>IF('Burndown Chart'!$L$2="","Planned Effort",'Burndown Chart'!$L$2)</f>
        <v>Planned Effort</v>
      </c>
      <c r="C2" s="21">
        <v>43405</v>
      </c>
      <c r="D2" s="21">
        <v>43406</v>
      </c>
      <c r="E2" s="21">
        <v>43407</v>
      </c>
      <c r="F2" s="21">
        <v>43408</v>
      </c>
      <c r="G2" s="21">
        <v>43409</v>
      </c>
      <c r="H2" s="21">
        <v>43410</v>
      </c>
      <c r="I2" s="21">
        <v>43411</v>
      </c>
      <c r="J2" s="21">
        <v>43412</v>
      </c>
      <c r="K2" s="21">
        <v>43413</v>
      </c>
      <c r="L2" s="21">
        <v>43414</v>
      </c>
      <c r="M2" s="21">
        <v>43415</v>
      </c>
      <c r="N2" s="21">
        <v>43416</v>
      </c>
      <c r="O2" s="21">
        <v>43417</v>
      </c>
      <c r="P2" s="21">
        <v>43418</v>
      </c>
      <c r="Q2" s="11"/>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row>
    <row r="3" spans="1:62" ht="29.25" thickBot="1" x14ac:dyDescent="0.3">
      <c r="A3" s="23" t="s">
        <v>11</v>
      </c>
      <c r="B3">
        <v>50</v>
      </c>
      <c r="C3" s="3">
        <v>40</v>
      </c>
      <c r="D3" s="3">
        <v>35</v>
      </c>
      <c r="E3" s="3">
        <v>30</v>
      </c>
      <c r="F3" s="3">
        <v>25</v>
      </c>
      <c r="G3" s="3">
        <v>20</v>
      </c>
      <c r="H3" s="3">
        <v>15</v>
      </c>
      <c r="I3" s="3">
        <v>10</v>
      </c>
      <c r="J3" s="3">
        <v>5</v>
      </c>
      <c r="K3" s="12">
        <v>0</v>
      </c>
      <c r="L3" s="12"/>
      <c r="M3" s="12"/>
      <c r="N3" s="12"/>
      <c r="O3" s="12"/>
      <c r="P3" s="12"/>
      <c r="Q3" s="3"/>
      <c r="R3" s="3"/>
      <c r="S3" s="3"/>
      <c r="T3" s="3"/>
      <c r="U3" s="3"/>
      <c r="V3" s="3"/>
      <c r="W3" s="3"/>
      <c r="X3" s="3"/>
      <c r="Y3" s="3"/>
      <c r="Z3" s="3"/>
      <c r="AA3" s="3"/>
      <c r="AB3" s="3"/>
      <c r="AC3" s="3"/>
      <c r="AD3" s="3"/>
      <c r="AE3" s="3"/>
      <c r="AF3" s="3"/>
      <c r="AG3" s="3"/>
      <c r="AH3" s="3"/>
      <c r="AI3" s="3"/>
      <c r="AJ3" s="3"/>
      <c r="AK3" s="3"/>
      <c r="AL3" s="3"/>
      <c r="AM3" s="3"/>
      <c r="AN3" s="3"/>
      <c r="AO3" s="3"/>
      <c r="AP3" s="3"/>
      <c r="AQ3" s="3"/>
      <c r="AR3" s="3"/>
      <c r="AS3" s="3"/>
      <c r="AT3" s="3"/>
      <c r="AU3" s="3"/>
      <c r="AV3" s="3"/>
      <c r="AW3" s="3"/>
      <c r="AX3" s="3"/>
      <c r="AY3" s="3"/>
      <c r="AZ3" s="3"/>
      <c r="BA3" s="3"/>
      <c r="BB3" s="3"/>
      <c r="BC3" s="3"/>
      <c r="BD3" s="3"/>
      <c r="BE3" s="3"/>
      <c r="BF3" s="3"/>
      <c r="BG3" s="3"/>
      <c r="BH3" s="3"/>
      <c r="BI3" s="3"/>
      <c r="BJ3" s="3"/>
    </row>
    <row r="4" spans="1:62" ht="29.25" thickBot="1" x14ac:dyDescent="0.3">
      <c r="A4" s="23" t="s">
        <v>12</v>
      </c>
      <c r="B4" s="19">
        <v>50</v>
      </c>
      <c r="C4" s="20">
        <v>40</v>
      </c>
      <c r="D4" s="20">
        <v>35</v>
      </c>
      <c r="E4" s="20">
        <v>30</v>
      </c>
      <c r="F4" s="20">
        <v>25</v>
      </c>
      <c r="G4" s="20">
        <v>20</v>
      </c>
      <c r="H4" s="20">
        <v>15</v>
      </c>
      <c r="I4" s="20">
        <v>10</v>
      </c>
      <c r="J4" s="20">
        <v>5</v>
      </c>
      <c r="K4" s="12">
        <v>0</v>
      </c>
      <c r="L4" s="3"/>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c r="BA4" s="3"/>
      <c r="BB4" s="3"/>
      <c r="BC4" s="3"/>
      <c r="BD4" s="3"/>
      <c r="BE4" s="3"/>
      <c r="BF4" s="3"/>
      <c r="BG4" s="3"/>
      <c r="BH4" s="3"/>
      <c r="BI4" s="3"/>
      <c r="BJ4" s="3"/>
    </row>
    <row r="5" spans="1:62" ht="29.25" thickBot="1" x14ac:dyDescent="0.3">
      <c r="A5" s="24" t="s">
        <v>13</v>
      </c>
      <c r="B5" s="19">
        <v>50</v>
      </c>
      <c r="C5" s="20">
        <v>40</v>
      </c>
      <c r="D5" s="20">
        <v>35</v>
      </c>
      <c r="E5" s="20">
        <v>30</v>
      </c>
      <c r="F5" s="20">
        <v>25</v>
      </c>
      <c r="G5" s="20">
        <v>20</v>
      </c>
      <c r="H5" s="20">
        <v>15</v>
      </c>
      <c r="I5" s="20">
        <v>10</v>
      </c>
      <c r="J5" s="20">
        <v>5</v>
      </c>
      <c r="K5" s="12">
        <v>0</v>
      </c>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row>
    <row r="6" spans="1:62" ht="29.25" thickBot="1" x14ac:dyDescent="0.3">
      <c r="A6" s="24" t="s">
        <v>14</v>
      </c>
      <c r="B6" s="19">
        <v>50</v>
      </c>
      <c r="C6" s="20">
        <v>40</v>
      </c>
      <c r="D6" s="20">
        <v>35</v>
      </c>
      <c r="E6" s="20">
        <v>30</v>
      </c>
      <c r="F6" s="20">
        <v>25</v>
      </c>
      <c r="G6" s="20">
        <v>20</v>
      </c>
      <c r="H6" s="20">
        <v>15</v>
      </c>
      <c r="I6" s="20">
        <v>10</v>
      </c>
      <c r="J6" s="20">
        <v>5</v>
      </c>
      <c r="K6" s="12">
        <v>0</v>
      </c>
      <c r="L6" s="3"/>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row>
    <row r="7" spans="1:62" ht="29.25" thickBot="1" x14ac:dyDescent="0.3">
      <c r="A7" s="23" t="s">
        <v>15</v>
      </c>
      <c r="B7" s="19">
        <v>50</v>
      </c>
      <c r="C7" s="20">
        <v>40</v>
      </c>
      <c r="D7" s="20">
        <v>35</v>
      </c>
      <c r="E7" s="20">
        <v>30</v>
      </c>
      <c r="F7" s="20">
        <v>25</v>
      </c>
      <c r="G7" s="20">
        <v>20</v>
      </c>
      <c r="H7" s="20">
        <v>15</v>
      </c>
      <c r="I7" s="20">
        <v>10</v>
      </c>
      <c r="J7" s="20">
        <v>5</v>
      </c>
      <c r="K7" s="12">
        <v>0</v>
      </c>
      <c r="L7" s="3"/>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row>
    <row r="8" spans="1:62" ht="29.25" thickBot="1" x14ac:dyDescent="0.3">
      <c r="A8" s="23" t="s">
        <v>16</v>
      </c>
      <c r="B8" s="19">
        <v>50</v>
      </c>
      <c r="C8" s="20">
        <v>40</v>
      </c>
      <c r="D8" s="20">
        <v>35</v>
      </c>
      <c r="E8" s="20">
        <v>30</v>
      </c>
      <c r="F8" s="20">
        <v>25</v>
      </c>
      <c r="G8" s="20">
        <v>20</v>
      </c>
      <c r="H8" s="20">
        <v>15</v>
      </c>
      <c r="I8" s="20">
        <v>10</v>
      </c>
      <c r="J8" s="20">
        <v>5</v>
      </c>
      <c r="K8" s="12">
        <v>0</v>
      </c>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row>
    <row r="9" spans="1:62" ht="29.25" thickBot="1" x14ac:dyDescent="0.3">
      <c r="A9" s="24" t="s">
        <v>17</v>
      </c>
      <c r="B9" s="19">
        <v>50</v>
      </c>
      <c r="C9" s="20">
        <v>40</v>
      </c>
      <c r="D9" s="20">
        <v>35</v>
      </c>
      <c r="E9" s="20">
        <v>30</v>
      </c>
      <c r="F9" s="20">
        <v>25</v>
      </c>
      <c r="G9" s="20">
        <v>20</v>
      </c>
      <c r="H9" s="20">
        <v>15</v>
      </c>
      <c r="I9" s="20">
        <v>10</v>
      </c>
      <c r="J9" s="20">
        <v>5</v>
      </c>
      <c r="K9" s="12">
        <v>0</v>
      </c>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row>
    <row r="10" spans="1:62" ht="29.25" thickBot="1" x14ac:dyDescent="0.3">
      <c r="A10" s="24" t="s">
        <v>18</v>
      </c>
      <c r="B10" s="19">
        <v>50</v>
      </c>
      <c r="C10" s="20">
        <v>40</v>
      </c>
      <c r="D10" s="20">
        <v>35</v>
      </c>
      <c r="E10" s="20">
        <v>30</v>
      </c>
      <c r="F10" s="20">
        <v>25</v>
      </c>
      <c r="G10" s="20">
        <v>20</v>
      </c>
      <c r="H10" s="20">
        <v>15</v>
      </c>
      <c r="I10" s="20">
        <v>10</v>
      </c>
      <c r="J10" s="20">
        <v>5</v>
      </c>
      <c r="K10" s="12">
        <v>0</v>
      </c>
      <c r="L10" s="3"/>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row>
    <row r="11" spans="1:62" ht="29.25" thickBot="1" x14ac:dyDescent="0.3">
      <c r="A11" s="23" t="s">
        <v>19</v>
      </c>
      <c r="B11" s="19">
        <v>50</v>
      </c>
      <c r="C11" s="20">
        <v>40</v>
      </c>
      <c r="D11" s="20">
        <v>35</v>
      </c>
      <c r="E11" s="20">
        <v>30</v>
      </c>
      <c r="F11" s="20">
        <v>25</v>
      </c>
      <c r="G11" s="20">
        <v>20</v>
      </c>
      <c r="H11" s="20">
        <v>15</v>
      </c>
      <c r="I11" s="20">
        <v>10</v>
      </c>
      <c r="J11" s="20">
        <v>5</v>
      </c>
      <c r="K11" s="12">
        <v>0</v>
      </c>
      <c r="L11" s="3"/>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row>
    <row r="12" spans="1:62" ht="29.25" thickBot="1" x14ac:dyDescent="0.3">
      <c r="A12" s="24" t="s">
        <v>20</v>
      </c>
      <c r="B12" s="19">
        <v>50</v>
      </c>
      <c r="C12" s="20">
        <v>40</v>
      </c>
      <c r="D12" s="20">
        <v>35</v>
      </c>
      <c r="E12" s="20">
        <v>30</v>
      </c>
      <c r="F12" s="20">
        <v>25</v>
      </c>
      <c r="G12" s="20">
        <v>20</v>
      </c>
      <c r="H12" s="20">
        <v>15</v>
      </c>
      <c r="I12" s="20">
        <v>10</v>
      </c>
      <c r="J12" s="20">
        <v>5</v>
      </c>
      <c r="K12" s="12">
        <v>0</v>
      </c>
      <c r="L12" s="3"/>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row>
    <row r="13" spans="1:62" ht="29.25" thickBot="1" x14ac:dyDescent="0.3">
      <c r="A13" s="24" t="s">
        <v>21</v>
      </c>
      <c r="B13" s="19">
        <v>50</v>
      </c>
      <c r="C13" s="20">
        <v>40</v>
      </c>
      <c r="D13" s="20">
        <v>35</v>
      </c>
      <c r="E13" s="20">
        <v>30</v>
      </c>
      <c r="F13" s="20">
        <v>25</v>
      </c>
      <c r="G13" s="20">
        <v>20</v>
      </c>
      <c r="H13" s="20">
        <v>15</v>
      </c>
      <c r="I13" s="20">
        <v>10</v>
      </c>
      <c r="J13" s="20">
        <v>5</v>
      </c>
      <c r="K13" s="12">
        <v>0</v>
      </c>
      <c r="L13" s="3"/>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c r="BD13" s="3"/>
      <c r="BE13" s="3"/>
      <c r="BF13" s="3"/>
      <c r="BG13" s="3"/>
      <c r="BH13" s="3"/>
      <c r="BI13" s="3"/>
      <c r="BJ13" s="3"/>
    </row>
    <row r="14" spans="1:62" ht="29.25" x14ac:dyDescent="0.25">
      <c r="A14" s="22" t="s">
        <v>22</v>
      </c>
      <c r="B14" s="19">
        <v>50</v>
      </c>
      <c r="C14" s="20">
        <v>40</v>
      </c>
      <c r="D14" s="20">
        <v>35</v>
      </c>
      <c r="E14" s="20">
        <v>30</v>
      </c>
      <c r="F14" s="20">
        <v>25</v>
      </c>
      <c r="G14" s="20">
        <v>20</v>
      </c>
      <c r="H14" s="20">
        <v>15</v>
      </c>
      <c r="I14" s="20">
        <v>10</v>
      </c>
      <c r="J14" s="20">
        <v>5</v>
      </c>
      <c r="K14" s="12">
        <v>0</v>
      </c>
      <c r="L14" s="3"/>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c r="BE14" s="3"/>
      <c r="BF14" s="3"/>
      <c r="BG14" s="3"/>
      <c r="BH14" s="3"/>
      <c r="BI14" s="3"/>
      <c r="BJ14" s="3"/>
    </row>
    <row r="15" spans="1:62" ht="15.75" x14ac:dyDescent="0.25">
      <c r="A15" s="10"/>
      <c r="C15" s="3"/>
      <c r="D15" s="3"/>
      <c r="E15" s="3"/>
      <c r="F15" s="3"/>
      <c r="G15" s="3"/>
      <c r="H15" s="3"/>
      <c r="I15" s="3"/>
      <c r="J15" s="3"/>
      <c r="K15" s="3"/>
      <c r="L15" s="3"/>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c r="BE15" s="3"/>
      <c r="BF15" s="3"/>
      <c r="BG15" s="3"/>
      <c r="BH15" s="3"/>
      <c r="BI15" s="3"/>
      <c r="BJ15" s="3"/>
    </row>
    <row r="16" spans="1:62" ht="15.75" x14ac:dyDescent="0.25">
      <c r="A16" s="10"/>
      <c r="C16" s="3"/>
      <c r="D16" s="3"/>
      <c r="E16" s="3"/>
      <c r="F16" s="3"/>
      <c r="G16" s="3"/>
      <c r="H16" s="3"/>
      <c r="I16" s="3"/>
      <c r="J16" s="3"/>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c r="BE16" s="3"/>
      <c r="BF16" s="3"/>
      <c r="BG16" s="3"/>
      <c r="BH16" s="3"/>
      <c r="BI16" s="3"/>
      <c r="BJ16" s="3"/>
    </row>
    <row r="17" spans="1:62" ht="15.75" x14ac:dyDescent="0.25">
      <c r="A17" s="10"/>
      <c r="C17" s="3"/>
      <c r="D17" s="3"/>
      <c r="E17" s="3"/>
      <c r="F17" s="3"/>
      <c r="G17" s="3"/>
      <c r="H17" s="3"/>
      <c r="I17" s="3"/>
      <c r="J17" s="3"/>
      <c r="K17" s="3"/>
      <c r="L17" s="3"/>
      <c r="M17" s="3"/>
      <c r="N17" s="3"/>
      <c r="O17" s="3"/>
      <c r="P17" s="3"/>
      <c r="Q17" s="3"/>
      <c r="R17" s="3"/>
      <c r="S17" s="3"/>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row>
    <row r="18" spans="1:62" ht="15.75" x14ac:dyDescent="0.25">
      <c r="A18" s="10"/>
      <c r="C18" s="3"/>
      <c r="D18" s="3"/>
      <c r="E18" s="3"/>
      <c r="F18" s="3"/>
      <c r="G18" s="3"/>
      <c r="H18" s="3"/>
      <c r="I18" s="3"/>
      <c r="J18" s="3"/>
      <c r="K18" s="3"/>
      <c r="L18" s="3"/>
      <c r="M18" s="3"/>
      <c r="N18" s="3"/>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c r="BJ18" s="3"/>
    </row>
    <row r="19" spans="1:62" ht="15.75" x14ac:dyDescent="0.25">
      <c r="A19" s="10"/>
      <c r="C19" s="3"/>
      <c r="D19" s="3"/>
      <c r="E19" s="3"/>
      <c r="F19" s="3"/>
      <c r="G19" s="3"/>
      <c r="H19" s="3"/>
      <c r="I19" s="3"/>
      <c r="J19" s="3"/>
      <c r="K19" s="3"/>
      <c r="L19" s="3"/>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c r="BJ19" s="3"/>
    </row>
    <row r="20" spans="1:62" ht="15.75" x14ac:dyDescent="0.25">
      <c r="A20" s="10"/>
      <c r="C20" s="3"/>
      <c r="D20" s="3"/>
      <c r="E20" s="3"/>
      <c r="F20" s="3"/>
      <c r="G20" s="3"/>
      <c r="H20" s="3"/>
      <c r="I20" s="3"/>
      <c r="J20" s="3"/>
      <c r="K20" s="3"/>
      <c r="L20" s="3"/>
      <c r="M20" s="3"/>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row>
    <row r="21" spans="1:62" ht="15.75" x14ac:dyDescent="0.25">
      <c r="A21" s="10"/>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row>
    <row r="22" spans="1:62" ht="15.75" x14ac:dyDescent="0.25">
      <c r="A22" s="10"/>
      <c r="C22" s="3"/>
      <c r="D22" s="3"/>
      <c r="E22" s="3"/>
      <c r="F22" s="3"/>
      <c r="G22" s="3"/>
      <c r="H22" s="3"/>
      <c r="I22" s="3"/>
      <c r="J22" s="3"/>
      <c r="K22" s="3"/>
      <c r="L22" s="3"/>
      <c r="M22" s="3"/>
      <c r="N22" s="3"/>
      <c r="O22" s="3"/>
      <c r="P22" s="3"/>
      <c r="Q22" s="3"/>
      <c r="R22" s="3"/>
      <c r="S22" s="3"/>
      <c r="T22" s="3"/>
      <c r="U22" s="3"/>
      <c r="V22" s="3"/>
      <c r="W22" s="3"/>
      <c r="X22" s="3"/>
      <c r="Y22" s="3"/>
      <c r="Z22" s="3"/>
      <c r="AA22" s="3"/>
      <c r="AB22" s="3"/>
      <c r="AC22" s="3"/>
      <c r="AD22" s="3"/>
      <c r="AE22" s="3"/>
      <c r="AF22" s="3"/>
      <c r="AG22" s="3"/>
      <c r="AH22" s="3"/>
      <c r="AI22" s="3"/>
      <c r="AJ22" s="3"/>
      <c r="AK22" s="3"/>
      <c r="AL22" s="3"/>
      <c r="AM22" s="3"/>
      <c r="AN22" s="3"/>
      <c r="AO22" s="3"/>
      <c r="AP22" s="3"/>
      <c r="AQ22" s="3"/>
      <c r="AR22" s="3"/>
      <c r="AS22" s="3"/>
      <c r="AT22" s="3"/>
      <c r="AU22" s="3"/>
      <c r="AV22" s="3"/>
      <c r="AW22" s="3"/>
      <c r="AX22" s="3"/>
      <c r="AY22" s="3"/>
      <c r="AZ22" s="3"/>
      <c r="BA22" s="3"/>
      <c r="BB22" s="3"/>
      <c r="BC22" s="3"/>
      <c r="BD22" s="3"/>
      <c r="BE22" s="3"/>
      <c r="BF22" s="3"/>
      <c r="BG22" s="3"/>
      <c r="BH22" s="3"/>
      <c r="BI22" s="3"/>
      <c r="BJ22" s="3"/>
    </row>
    <row r="23" spans="1:62" ht="15.75" x14ac:dyDescent="0.25">
      <c r="A23" s="10"/>
      <c r="C23" s="3"/>
      <c r="D23" s="3"/>
      <c r="E23" s="3"/>
      <c r="F23" s="3"/>
      <c r="G23" s="3"/>
      <c r="H23" s="3"/>
      <c r="I23" s="3"/>
      <c r="J23" s="3"/>
      <c r="K23" s="3"/>
      <c r="L23" s="3"/>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row>
    <row r="24" spans="1:62" ht="15.75" x14ac:dyDescent="0.25">
      <c r="A24" s="10"/>
      <c r="C24" s="3"/>
      <c r="D24" s="3"/>
      <c r="E24" s="3"/>
      <c r="F24" s="3"/>
      <c r="G24" s="3"/>
      <c r="H24" s="3"/>
      <c r="I24" s="3"/>
      <c r="J24" s="3"/>
      <c r="K24" s="3"/>
      <c r="L24" s="3"/>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row>
    <row r="25" spans="1:62" ht="15.75" x14ac:dyDescent="0.25">
      <c r="A25" s="10"/>
      <c r="C25" s="3"/>
      <c r="D25" s="3"/>
      <c r="E25" s="3"/>
      <c r="F25" s="3"/>
      <c r="G25" s="3"/>
      <c r="H25" s="3"/>
      <c r="I25" s="3"/>
      <c r="J25" s="3"/>
      <c r="K25" s="3"/>
      <c r="L25" s="3"/>
      <c r="M25" s="3"/>
      <c r="N25" s="3"/>
      <c r="O25" s="3"/>
      <c r="P25" s="3"/>
      <c r="Q25" s="3"/>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row>
    <row r="26" spans="1:62" ht="15.75" x14ac:dyDescent="0.25">
      <c r="A26" s="10"/>
      <c r="C26" s="3"/>
      <c r="D26" s="3"/>
      <c r="E26" s="3"/>
      <c r="F26" s="3"/>
      <c r="G26" s="3"/>
      <c r="H26" s="3"/>
      <c r="I26" s="3"/>
      <c r="J26" s="3"/>
      <c r="K26" s="3"/>
      <c r="L26" s="3"/>
      <c r="M26" s="3"/>
      <c r="N26" s="3"/>
      <c r="O26" s="3"/>
      <c r="P26" s="3"/>
      <c r="Q26" s="3"/>
      <c r="R26" s="3"/>
      <c r="S26" s="3"/>
      <c r="T26" s="3"/>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row>
    <row r="27" spans="1:62" ht="15.75" x14ac:dyDescent="0.25">
      <c r="A27" s="10"/>
      <c r="C27" s="3"/>
      <c r="D27" s="3"/>
      <c r="E27" s="3"/>
      <c r="F27" s="3"/>
      <c r="G27" s="3"/>
      <c r="H27" s="3"/>
      <c r="I27" s="3"/>
      <c r="J27" s="3"/>
      <c r="K27" s="3"/>
      <c r="L27" s="3"/>
      <c r="M27" s="3"/>
      <c r="N27" s="3"/>
      <c r="O27" s="3"/>
      <c r="P27" s="3"/>
      <c r="Q27" s="3"/>
      <c r="R27" s="3"/>
      <c r="S27" s="3"/>
      <c r="T27" s="3"/>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row>
    <row r="28" spans="1:62" ht="15.75" x14ac:dyDescent="0.25">
      <c r="A28" s="10"/>
      <c r="C28" s="3"/>
      <c r="D28" s="3"/>
      <c r="E28" s="3"/>
      <c r="F28" s="3"/>
      <c r="G28" s="3"/>
      <c r="H28" s="3"/>
      <c r="I28" s="3"/>
      <c r="J28" s="3"/>
      <c r="K28" s="3"/>
      <c r="L28" s="3"/>
      <c r="M28" s="3"/>
      <c r="N28" s="3"/>
      <c r="O28" s="3"/>
      <c r="P28" s="3"/>
      <c r="Q28" s="3"/>
      <c r="R28" s="3"/>
      <c r="S28" s="3"/>
      <c r="T28" s="3"/>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row>
    <row r="29" spans="1:62" ht="15.75" x14ac:dyDescent="0.25">
      <c r="A29" s="10"/>
      <c r="C29" s="3"/>
      <c r="D29" s="3"/>
      <c r="E29" s="3"/>
      <c r="F29" s="3"/>
      <c r="G29" s="3"/>
      <c r="H29" s="3"/>
      <c r="I29" s="3"/>
      <c r="J29" s="3"/>
      <c r="K29" s="3"/>
      <c r="L29" s="3"/>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row>
    <row r="30" spans="1:62" ht="15.75" x14ac:dyDescent="0.25">
      <c r="A30" s="10"/>
      <c r="C30" s="3"/>
      <c r="D30" s="3"/>
      <c r="E30" s="3"/>
      <c r="F30" s="3"/>
      <c r="G30" s="3"/>
      <c r="H30" s="3"/>
      <c r="I30" s="3"/>
      <c r="J30" s="3"/>
      <c r="K30" s="3"/>
      <c r="L30" s="3"/>
      <c r="M30" s="3"/>
      <c r="N30" s="3"/>
      <c r="O30" s="3"/>
      <c r="P30" s="3"/>
      <c r="Q30" s="3"/>
      <c r="R30" s="3"/>
      <c r="S30" s="3"/>
      <c r="T30" s="3"/>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row>
    <row r="31" spans="1:62" x14ac:dyDescent="0.25">
      <c r="C31" s="3"/>
      <c r="D31" s="3"/>
      <c r="E31" s="3"/>
      <c r="F31" s="3"/>
      <c r="G31" s="3"/>
      <c r="H31" s="3"/>
      <c r="I31" s="3"/>
      <c r="J31" s="3"/>
      <c r="K31" s="3"/>
      <c r="L31" s="3"/>
      <c r="M31" s="3"/>
      <c r="N31" s="3"/>
      <c r="O31" s="3"/>
      <c r="P31" s="3"/>
      <c r="Q31" s="3"/>
      <c r="R31" s="3"/>
      <c r="S31" s="3"/>
      <c r="T31" s="3"/>
      <c r="U31" s="3"/>
      <c r="V31" s="3"/>
      <c r="W31" s="3"/>
      <c r="X31" s="3"/>
      <c r="Y31" s="3"/>
      <c r="Z31" s="3"/>
      <c r="AA31" s="3"/>
      <c r="AB31" s="3"/>
      <c r="AC31" s="3"/>
      <c r="AD31" s="3"/>
      <c r="AE31" s="3"/>
      <c r="AF31" s="3"/>
      <c r="AG31" s="3"/>
      <c r="AH31" s="3"/>
      <c r="AI31" s="3"/>
      <c r="AJ31" s="3"/>
      <c r="AK31" s="3"/>
      <c r="AL31" s="3"/>
      <c r="AM31" s="3"/>
      <c r="AN31" s="3"/>
      <c r="AO31" s="3"/>
      <c r="AP31" s="3"/>
      <c r="AQ31" s="3"/>
      <c r="AR31" s="3"/>
      <c r="AS31" s="3"/>
      <c r="AT31" s="3"/>
      <c r="AU31" s="3"/>
      <c r="AV31" s="3"/>
      <c r="AW31" s="3"/>
      <c r="AX31" s="3"/>
      <c r="AY31" s="3"/>
      <c r="AZ31" s="3"/>
      <c r="BA31" s="3"/>
      <c r="BB31" s="3"/>
      <c r="BC31" s="3"/>
      <c r="BD31" s="3"/>
      <c r="BE31" s="3"/>
      <c r="BF31" s="3"/>
      <c r="BG31" s="3"/>
      <c r="BH31" s="3"/>
      <c r="BI31" s="3"/>
      <c r="BJ31" s="3"/>
    </row>
    <row r="32" spans="1:62" x14ac:dyDescent="0.25">
      <c r="C32" s="3"/>
      <c r="D32" s="3"/>
      <c r="E32" s="3"/>
      <c r="F32" s="3"/>
      <c r="G32" s="3"/>
      <c r="H32" s="3"/>
      <c r="I32" s="3"/>
      <c r="J32" s="3"/>
      <c r="K32" s="3"/>
      <c r="L32" s="3"/>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row>
    <row r="33" spans="3:62" x14ac:dyDescent="0.25">
      <c r="C33" s="3"/>
      <c r="D33" s="3"/>
      <c r="E33" s="3"/>
      <c r="F33" s="3"/>
      <c r="G33" s="3"/>
      <c r="H33" s="3"/>
      <c r="I33" s="3"/>
      <c r="J33" s="3"/>
      <c r="K33" s="3"/>
      <c r="L33" s="3"/>
      <c r="M33" s="3"/>
      <c r="N33" s="3"/>
      <c r="O33" s="3"/>
      <c r="P33" s="3"/>
      <c r="Q33" s="3"/>
      <c r="R33" s="3"/>
      <c r="S33" s="3"/>
      <c r="T33" s="3"/>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row>
    <row r="34" spans="3:62" x14ac:dyDescent="0.25">
      <c r="C34" s="3"/>
      <c r="D34" s="3"/>
      <c r="E34" s="3"/>
      <c r="F34" s="3"/>
      <c r="G34" s="3"/>
      <c r="H34" s="3"/>
      <c r="I34" s="3"/>
      <c r="J34" s="3"/>
      <c r="K34" s="3"/>
      <c r="L34" s="3"/>
      <c r="M34" s="3"/>
      <c r="N34" s="3"/>
      <c r="O34" s="3"/>
      <c r="P34" s="3"/>
      <c r="Q34" s="3"/>
      <c r="R34" s="3"/>
      <c r="S34" s="3"/>
      <c r="T34" s="3"/>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row>
    <row r="35" spans="3:62" x14ac:dyDescent="0.25">
      <c r="C35" s="3"/>
      <c r="D35" s="3"/>
      <c r="E35" s="3"/>
      <c r="F35" s="3"/>
      <c r="G35" s="3"/>
      <c r="H35" s="3"/>
      <c r="I35" s="3"/>
      <c r="J35" s="3"/>
      <c r="K35" s="3"/>
      <c r="L35" s="3"/>
      <c r="M35" s="3"/>
      <c r="N35" s="3"/>
      <c r="O35" s="3"/>
      <c r="P35" s="3"/>
      <c r="Q35" s="3"/>
      <c r="R35" s="3"/>
      <c r="S35" s="3"/>
      <c r="T35" s="3"/>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row>
    <row r="36" spans="3:62" x14ac:dyDescent="0.25">
      <c r="C36" s="3"/>
      <c r="D36" s="3"/>
      <c r="E36" s="3"/>
      <c r="F36" s="3"/>
      <c r="G36" s="3"/>
      <c r="H36" s="3"/>
      <c r="I36" s="3"/>
      <c r="J36" s="3"/>
      <c r="K36" s="3"/>
      <c r="L36" s="3"/>
      <c r="M36" s="3"/>
      <c r="N36" s="3"/>
      <c r="O36" s="3"/>
      <c r="P36" s="3"/>
      <c r="Q36" s="3"/>
      <c r="R36" s="3"/>
      <c r="S36" s="3"/>
      <c r="T36" s="3"/>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row>
    <row r="37" spans="3:62" x14ac:dyDescent="0.25">
      <c r="C37" s="3"/>
      <c r="D37" s="3"/>
      <c r="E37" s="3"/>
      <c r="F37" s="3"/>
      <c r="G37" s="3"/>
      <c r="H37" s="3"/>
      <c r="I37" s="3"/>
      <c r="J37" s="3"/>
      <c r="K37" s="3"/>
      <c r="L37" s="3"/>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row>
    <row r="38" spans="3:62" x14ac:dyDescent="0.25">
      <c r="C38" s="3"/>
      <c r="D38" s="3"/>
      <c r="E38" s="3"/>
      <c r="F38" s="3"/>
      <c r="G38" s="3"/>
      <c r="H38" s="3"/>
      <c r="I38" s="3"/>
      <c r="J38" s="3"/>
      <c r="K38" s="3"/>
      <c r="L38" s="3"/>
      <c r="M38" s="3"/>
      <c r="N38" s="3"/>
      <c r="O38" s="3"/>
      <c r="P38" s="3"/>
      <c r="Q38" s="3"/>
      <c r="R38" s="3"/>
      <c r="S38" s="3"/>
      <c r="T38" s="3"/>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row>
    <row r="39" spans="3:62" x14ac:dyDescent="0.25">
      <c r="C39" s="3"/>
      <c r="D39" s="3"/>
      <c r="E39" s="3"/>
      <c r="F39" s="3"/>
      <c r="G39" s="3"/>
      <c r="H39" s="3"/>
      <c r="I39" s="3"/>
      <c r="J39" s="3"/>
      <c r="K39" s="3"/>
      <c r="L39" s="3"/>
      <c r="M39" s="3"/>
      <c r="N39" s="3"/>
      <c r="O39" s="3"/>
      <c r="P39" s="3"/>
      <c r="Q39" s="3"/>
      <c r="R39" s="3"/>
      <c r="S39" s="3"/>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row>
    <row r="40" spans="3:62" x14ac:dyDescent="0.25">
      <c r="C40" s="3"/>
      <c r="D40" s="3"/>
      <c r="E40" s="3"/>
      <c r="F40" s="3"/>
      <c r="G40" s="3"/>
      <c r="H40" s="3"/>
      <c r="I40" s="3"/>
      <c r="J40" s="3"/>
      <c r="K40" s="3"/>
      <c r="L40" s="3"/>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3"/>
      <c r="BE40" s="3"/>
      <c r="BF40" s="3"/>
      <c r="BG40" s="3"/>
      <c r="BH40" s="3"/>
      <c r="BI40" s="3"/>
      <c r="BJ40" s="3"/>
    </row>
    <row r="41" spans="3:62" x14ac:dyDescent="0.25">
      <c r="C41" s="3"/>
      <c r="D41" s="3"/>
      <c r="E41" s="3"/>
      <c r="F41" s="3"/>
      <c r="G41" s="3"/>
      <c r="H41" s="3"/>
      <c r="I41" s="3"/>
      <c r="J41" s="3"/>
      <c r="K41" s="3"/>
      <c r="L41" s="3"/>
      <c r="M41" s="3"/>
      <c r="N41" s="3"/>
      <c r="O41" s="3"/>
      <c r="P41" s="3"/>
      <c r="Q41" s="3"/>
      <c r="R41" s="3"/>
      <c r="S41" s="3"/>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row>
    <row r="42" spans="3:62" x14ac:dyDescent="0.25">
      <c r="C42" s="3"/>
      <c r="D42" s="3"/>
      <c r="E42" s="3"/>
      <c r="F42" s="3"/>
      <c r="G42" s="3"/>
      <c r="H42" s="3"/>
      <c r="I42" s="3"/>
      <c r="J42" s="3"/>
      <c r="K42" s="3"/>
      <c r="L42" s="3"/>
      <c r="M42" s="3"/>
      <c r="N42" s="3"/>
      <c r="O42" s="3"/>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row>
    <row r="43" spans="3:62" x14ac:dyDescent="0.25">
      <c r="C43" s="3"/>
      <c r="D43" s="3"/>
      <c r="E43" s="3"/>
      <c r="F43" s="3"/>
      <c r="G43" s="3"/>
      <c r="H43" s="3"/>
      <c r="I43" s="3"/>
      <c r="J43" s="3"/>
      <c r="K43" s="3"/>
      <c r="L43" s="3"/>
      <c r="M43" s="3"/>
      <c r="N43" s="3"/>
      <c r="O43" s="3"/>
      <c r="P43" s="3"/>
      <c r="Q43" s="3"/>
      <c r="R43" s="3"/>
      <c r="S43" s="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c r="BA43" s="3"/>
      <c r="BB43" s="3"/>
      <c r="BC43" s="3"/>
      <c r="BD43" s="3"/>
      <c r="BE43" s="3"/>
      <c r="BF43" s="3"/>
      <c r="BG43" s="3"/>
      <c r="BH43" s="3"/>
      <c r="BI43" s="3"/>
      <c r="BJ43" s="3"/>
    </row>
    <row r="44" spans="3:62" x14ac:dyDescent="0.25">
      <c r="C44" s="3"/>
      <c r="D44" s="3"/>
      <c r="E44" s="3"/>
      <c r="F44" s="3"/>
      <c r="G44" s="3"/>
      <c r="H44" s="3"/>
      <c r="I44" s="3"/>
      <c r="J44" s="3"/>
      <c r="K44" s="3"/>
      <c r="L44" s="3"/>
      <c r="M44" s="3"/>
      <c r="N44" s="3"/>
      <c r="O44" s="3"/>
      <c r="P44" s="3"/>
      <c r="Q44" s="3"/>
      <c r="R44" s="3"/>
      <c r="S44" s="3"/>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row>
    <row r="45" spans="3:62" x14ac:dyDescent="0.25">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3"/>
      <c r="BE45" s="3"/>
      <c r="BF45" s="3"/>
      <c r="BG45" s="3"/>
      <c r="BH45" s="3"/>
      <c r="BI45" s="3"/>
      <c r="BJ45" s="3"/>
    </row>
    <row r="46" spans="3:62" x14ac:dyDescent="0.25">
      <c r="C46" s="3"/>
      <c r="D46" s="3"/>
      <c r="E46" s="3"/>
      <c r="F46" s="3"/>
      <c r="G46" s="3"/>
      <c r="H46" s="3"/>
      <c r="I46" s="3"/>
      <c r="J46" s="3"/>
      <c r="K46" s="3"/>
      <c r="L46" s="3"/>
      <c r="M46" s="3"/>
      <c r="N46" s="3"/>
      <c r="O46" s="3"/>
      <c r="P46" s="3"/>
      <c r="Q46" s="3"/>
      <c r="R46" s="3"/>
      <c r="S46" s="3"/>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c r="BA46" s="3"/>
      <c r="BB46" s="3"/>
      <c r="BC46" s="3"/>
      <c r="BD46" s="3"/>
      <c r="BE46" s="3"/>
      <c r="BF46" s="3"/>
      <c r="BG46" s="3"/>
      <c r="BH46" s="3"/>
      <c r="BI46" s="3"/>
      <c r="BJ46" s="3"/>
    </row>
    <row r="47" spans="3:62" x14ac:dyDescent="0.25">
      <c r="C47" s="3"/>
      <c r="D47" s="3"/>
      <c r="E47" s="3"/>
      <c r="F47" s="3"/>
      <c r="G47" s="3"/>
      <c r="H47" s="3"/>
      <c r="I47" s="3"/>
      <c r="J47" s="3"/>
      <c r="K47" s="3"/>
      <c r="L47" s="3"/>
      <c r="M47" s="3"/>
      <c r="N47" s="3"/>
      <c r="O47" s="3"/>
      <c r="P47" s="3"/>
      <c r="Q47" s="3"/>
      <c r="R47" s="3"/>
      <c r="S47" s="3"/>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c r="BA47" s="3"/>
      <c r="BB47" s="3"/>
      <c r="BC47" s="3"/>
      <c r="BD47" s="3"/>
      <c r="BE47" s="3"/>
      <c r="BF47" s="3"/>
      <c r="BG47" s="3"/>
      <c r="BH47" s="3"/>
      <c r="BI47" s="3"/>
      <c r="BJ47" s="3"/>
    </row>
    <row r="48" spans="3:62" x14ac:dyDescent="0.25">
      <c r="C48" s="3"/>
      <c r="D48" s="3"/>
      <c r="E48" s="3"/>
      <c r="F48" s="3"/>
      <c r="G48" s="3"/>
      <c r="H48" s="3"/>
      <c r="I48" s="3"/>
      <c r="J48" s="3"/>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row>
    <row r="49" spans="3:62" x14ac:dyDescent="0.25">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c r="AF49" s="3"/>
      <c r="AG49" s="3"/>
      <c r="AH49" s="3"/>
      <c r="AI49" s="3"/>
      <c r="AJ49" s="3"/>
      <c r="AK49" s="3"/>
      <c r="AL49" s="3"/>
      <c r="AM49" s="3"/>
      <c r="AN49" s="3"/>
      <c r="AO49" s="3"/>
      <c r="AP49" s="3"/>
      <c r="AQ49" s="3"/>
      <c r="AR49" s="3"/>
      <c r="AS49" s="3"/>
      <c r="AT49" s="3"/>
      <c r="AU49" s="3"/>
      <c r="AV49" s="3"/>
      <c r="AW49" s="3"/>
      <c r="AX49" s="3"/>
      <c r="AY49" s="3"/>
      <c r="AZ49" s="3"/>
      <c r="BA49" s="3"/>
      <c r="BB49" s="3"/>
      <c r="BC49" s="3"/>
      <c r="BD49" s="3"/>
      <c r="BE49" s="3"/>
      <c r="BF49" s="3"/>
      <c r="BG49" s="3"/>
      <c r="BH49" s="3"/>
      <c r="BI49" s="3"/>
      <c r="BJ49" s="3"/>
    </row>
    <row r="50" spans="3:62" x14ac:dyDescent="0.25">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row>
    <row r="51" spans="3:62" x14ac:dyDescent="0.25">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row>
    <row r="52" spans="3:62" x14ac:dyDescent="0.25">
      <c r="C52" s="3"/>
      <c r="D52" s="3"/>
      <c r="E52" s="3"/>
      <c r="F52" s="3"/>
      <c r="G52" s="3"/>
      <c r="H52" s="3"/>
      <c r="I52" s="3"/>
      <c r="J52" s="3"/>
      <c r="K52" s="3"/>
      <c r="L52" s="3"/>
      <c r="M52" s="3"/>
      <c r="N52" s="3"/>
      <c r="O52" s="3"/>
      <c r="P52" s="3"/>
      <c r="Q52" s="3"/>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row>
    <row r="53" spans="3:62" x14ac:dyDescent="0.25">
      <c r="C53" s="3"/>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row>
    <row r="54" spans="3:62" x14ac:dyDescent="0.25">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row>
    <row r="55" spans="3:62" x14ac:dyDescent="0.25">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row>
    <row r="56" spans="3:62" x14ac:dyDescent="0.25">
      <c r="C56" s="3"/>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row>
    <row r="57" spans="3:62" x14ac:dyDescent="0.25">
      <c r="C57" s="3"/>
      <c r="D57" s="3"/>
      <c r="E57" s="3"/>
      <c r="F57" s="3"/>
      <c r="G57" s="3"/>
      <c r="H57" s="3"/>
      <c r="I57" s="3"/>
      <c r="J57" s="3"/>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row>
    <row r="58" spans="3:62" x14ac:dyDescent="0.25">
      <c r="C58" s="3"/>
      <c r="D58" s="3"/>
      <c r="E58" s="3"/>
      <c r="F58" s="3"/>
      <c r="G58" s="3"/>
      <c r="H58" s="3"/>
      <c r="I58" s="3"/>
      <c r="J58" s="3"/>
      <c r="K58" s="3"/>
      <c r="L58" s="3"/>
      <c r="M58" s="3"/>
      <c r="N58" s="3"/>
      <c r="O58" s="3"/>
      <c r="P58" s="3"/>
      <c r="Q58" s="3"/>
      <c r="R58" s="3"/>
      <c r="S58" s="3"/>
      <c r="T58" s="3"/>
      <c r="U58" s="3"/>
      <c r="V58" s="3"/>
      <c r="W58" s="3"/>
      <c r="X58" s="3"/>
      <c r="Y58" s="3"/>
      <c r="Z58" s="3"/>
      <c r="AA58" s="3"/>
      <c r="AB58" s="3"/>
      <c r="AC58" s="3"/>
      <c r="AD58" s="3"/>
      <c r="AE58" s="3"/>
      <c r="AF58" s="3"/>
      <c r="AG58" s="3"/>
      <c r="AH58" s="3"/>
      <c r="AI58" s="3"/>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row>
    <row r="59" spans="3:62" x14ac:dyDescent="0.25">
      <c r="C59" s="3"/>
      <c r="D59" s="3"/>
      <c r="E59" s="3"/>
      <c r="F59" s="3"/>
      <c r="G59" s="3"/>
      <c r="H59" s="3"/>
      <c r="I59" s="3"/>
      <c r="J59" s="3"/>
      <c r="K59" s="3"/>
      <c r="L59" s="3"/>
      <c r="M59" s="3"/>
      <c r="N59" s="3"/>
      <c r="O59" s="3"/>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row>
    <row r="60" spans="3:62" x14ac:dyDescent="0.25">
      <c r="C60" s="3"/>
      <c r="D60" s="3"/>
      <c r="E60" s="3"/>
      <c r="F60" s="3"/>
      <c r="G60" s="3"/>
      <c r="H60" s="3"/>
      <c r="I60" s="3"/>
      <c r="J60" s="3"/>
      <c r="K60" s="3"/>
      <c r="L60" s="3"/>
      <c r="M60" s="3"/>
      <c r="N60" s="3"/>
      <c r="O60" s="3"/>
      <c r="P60" s="3"/>
      <c r="Q60" s="3"/>
      <c r="R60" s="3"/>
      <c r="S60" s="3"/>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row>
    <row r="61" spans="3:62" x14ac:dyDescent="0.25">
      <c r="C61" s="3"/>
      <c r="D61" s="3"/>
      <c r="E61" s="3"/>
      <c r="F61" s="3"/>
      <c r="G61" s="3"/>
      <c r="H61" s="3"/>
      <c r="I61" s="3"/>
      <c r="J61" s="3"/>
      <c r="K61" s="3"/>
      <c r="L61" s="3"/>
      <c r="M61" s="3"/>
      <c r="N61" s="3"/>
      <c r="O61" s="3"/>
      <c r="P61" s="3"/>
      <c r="Q61" s="3"/>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row>
    <row r="62" spans="3:62" x14ac:dyDescent="0.25">
      <c r="C62" s="3"/>
      <c r="D62" s="3"/>
      <c r="E62" s="3"/>
      <c r="F62" s="3"/>
      <c r="G62" s="3"/>
      <c r="H62" s="3"/>
      <c r="I62" s="3"/>
      <c r="J62" s="3"/>
      <c r="K62" s="3"/>
      <c r="L62" s="3"/>
      <c r="M62" s="3"/>
      <c r="N62" s="3"/>
      <c r="O62" s="3"/>
      <c r="P62" s="3"/>
      <c r="Q62" s="3"/>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row>
    <row r="63" spans="3:62" x14ac:dyDescent="0.25">
      <c r="C63" s="3"/>
      <c r="D63" s="3"/>
      <c r="E63" s="3"/>
      <c r="F63" s="3"/>
      <c r="G63" s="3"/>
      <c r="H63" s="3"/>
      <c r="I63" s="3"/>
      <c r="J63" s="3"/>
      <c r="K63" s="3"/>
      <c r="L63" s="3"/>
      <c r="M63" s="3"/>
      <c r="N63" s="3"/>
      <c r="O63" s="3"/>
      <c r="P63" s="3"/>
      <c r="Q63" s="3"/>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row>
    <row r="64" spans="3:62" x14ac:dyDescent="0.25">
      <c r="C64" s="3"/>
      <c r="D64" s="3"/>
      <c r="E64" s="3"/>
      <c r="F64" s="3"/>
      <c r="G64" s="3"/>
      <c r="H64" s="3"/>
      <c r="I64" s="3"/>
      <c r="J64" s="3"/>
      <c r="K64" s="3"/>
      <c r="L64" s="3"/>
      <c r="M64" s="3"/>
      <c r="N64" s="3"/>
      <c r="O64" s="3"/>
      <c r="P64" s="3"/>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row>
    <row r="65" spans="3:62" x14ac:dyDescent="0.25">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row>
    <row r="66" spans="3:62" x14ac:dyDescent="0.25">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row>
    <row r="67" spans="3:62" x14ac:dyDescent="0.25">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row>
    <row r="68" spans="3:62" x14ac:dyDescent="0.25">
      <c r="C68" s="3"/>
      <c r="D68" s="3"/>
      <c r="E68" s="3"/>
      <c r="F68" s="3"/>
      <c r="G68" s="3"/>
      <c r="H68" s="3"/>
      <c r="I68" s="3"/>
      <c r="J68" s="3"/>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row>
    <row r="69" spans="3:62" x14ac:dyDescent="0.25">
      <c r="C69" s="3"/>
      <c r="D69" s="3"/>
      <c r="E69" s="3"/>
      <c r="F69" s="3"/>
      <c r="G69" s="3"/>
      <c r="H69" s="3"/>
      <c r="I69" s="3"/>
      <c r="J69" s="3"/>
      <c r="K69" s="3"/>
      <c r="L69" s="3"/>
      <c r="M69" s="3"/>
      <c r="N69" s="3"/>
      <c r="O69" s="3"/>
      <c r="P69" s="3"/>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row>
    <row r="70" spans="3:62" x14ac:dyDescent="0.25">
      <c r="C70" s="3"/>
      <c r="D70" s="3"/>
      <c r="E70" s="3"/>
      <c r="F70" s="3"/>
      <c r="G70" s="3"/>
      <c r="H70" s="3"/>
      <c r="I70" s="3"/>
      <c r="J70" s="3"/>
      <c r="K70" s="3"/>
      <c r="L70" s="3"/>
      <c r="M70" s="3"/>
      <c r="N70" s="3"/>
      <c r="O70" s="3"/>
      <c r="P70" s="3"/>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row>
    <row r="71" spans="3:62" x14ac:dyDescent="0.25">
      <c r="C71" s="3"/>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row>
    <row r="72" spans="3:62" x14ac:dyDescent="0.25">
      <c r="C72" s="3"/>
      <c r="D72" s="3"/>
      <c r="E72" s="3"/>
      <c r="F72" s="3"/>
      <c r="G72" s="3"/>
      <c r="H72" s="3"/>
      <c r="I72" s="3"/>
      <c r="J72" s="3"/>
      <c r="K72" s="3"/>
      <c r="L72" s="3"/>
      <c r="M72" s="3"/>
      <c r="N72" s="3"/>
      <c r="O72" s="3"/>
      <c r="P72" s="3"/>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row>
    <row r="73" spans="3:62" x14ac:dyDescent="0.25">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row>
    <row r="74" spans="3:62" x14ac:dyDescent="0.25">
      <c r="C74" s="3"/>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row>
    <row r="75" spans="3:62" x14ac:dyDescent="0.25">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row>
    <row r="76" spans="3:62" x14ac:dyDescent="0.25">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c r="AY76" s="3"/>
      <c r="AZ76" s="3"/>
      <c r="BA76" s="3"/>
      <c r="BB76" s="3"/>
      <c r="BC76" s="3"/>
      <c r="BD76" s="3"/>
      <c r="BE76" s="3"/>
      <c r="BF76" s="3"/>
      <c r="BG76" s="3"/>
      <c r="BH76" s="3"/>
      <c r="BI76" s="3"/>
      <c r="BJ76" s="3"/>
    </row>
    <row r="77" spans="3:62" x14ac:dyDescent="0.25">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row>
    <row r="78" spans="3:62" x14ac:dyDescent="0.25">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row>
    <row r="79" spans="3:62" x14ac:dyDescent="0.25">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row>
    <row r="80" spans="3:62" x14ac:dyDescent="0.25">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row>
    <row r="81" spans="3:62" x14ac:dyDescent="0.25">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row>
    <row r="82" spans="3:62" x14ac:dyDescent="0.25">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row>
    <row r="83" spans="3:62" x14ac:dyDescent="0.25">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row>
    <row r="84" spans="3:62" x14ac:dyDescent="0.25">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row>
    <row r="85" spans="3:62" x14ac:dyDescent="0.25">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c r="BA85" s="3"/>
      <c r="BB85" s="3"/>
      <c r="BC85" s="3"/>
      <c r="BD85" s="3"/>
      <c r="BE85" s="3"/>
      <c r="BF85" s="3"/>
      <c r="BG85" s="3"/>
      <c r="BH85" s="3"/>
      <c r="BI85" s="3"/>
      <c r="BJ85" s="3"/>
    </row>
    <row r="86" spans="3:62" x14ac:dyDescent="0.25">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row>
    <row r="87" spans="3:62" x14ac:dyDescent="0.25">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row>
    <row r="88" spans="3:62" x14ac:dyDescent="0.25">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row>
    <row r="89" spans="3:62" x14ac:dyDescent="0.25">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row>
    <row r="90" spans="3:62" x14ac:dyDescent="0.25">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row>
    <row r="91" spans="3:62" x14ac:dyDescent="0.25">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row>
    <row r="92" spans="3:62" x14ac:dyDescent="0.25">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row>
    <row r="93" spans="3:62" x14ac:dyDescent="0.25">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row>
    <row r="94" spans="3:62" x14ac:dyDescent="0.25">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c r="BA94" s="3"/>
      <c r="BB94" s="3"/>
      <c r="BC94" s="3"/>
      <c r="BD94" s="3"/>
      <c r="BE94" s="3"/>
      <c r="BF94" s="3"/>
      <c r="BG94" s="3"/>
      <c r="BH94" s="3"/>
      <c r="BI94" s="3"/>
      <c r="BJ94" s="3"/>
    </row>
    <row r="95" spans="3:62" x14ac:dyDescent="0.25">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row>
    <row r="96" spans="3:62" x14ac:dyDescent="0.25">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row>
    <row r="97" spans="3:62" x14ac:dyDescent="0.25">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row>
    <row r="98" spans="3:62" x14ac:dyDescent="0.25">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row>
    <row r="99" spans="3:62" x14ac:dyDescent="0.25">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row>
    <row r="100" spans="3:62" x14ac:dyDescent="0.25">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row>
    <row r="101" spans="3:62" x14ac:dyDescent="0.25">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row>
    <row r="102" spans="3:62" x14ac:dyDescent="0.25">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row>
    <row r="103" spans="3:62" x14ac:dyDescent="0.25">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row>
    <row r="104" spans="3:62" x14ac:dyDescent="0.25">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c r="BA104" s="3"/>
      <c r="BB104" s="3"/>
      <c r="BC104" s="3"/>
      <c r="BD104" s="3"/>
      <c r="BE104" s="3"/>
      <c r="BF104" s="3"/>
      <c r="BG104" s="3"/>
      <c r="BH104" s="3"/>
      <c r="BI104" s="3"/>
      <c r="BJ104" s="3"/>
    </row>
    <row r="105" spans="3:62" x14ac:dyDescent="0.25">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c r="BA105" s="3"/>
      <c r="BB105" s="3"/>
      <c r="BC105" s="3"/>
      <c r="BD105" s="3"/>
      <c r="BE105" s="3"/>
      <c r="BF105" s="3"/>
      <c r="BG105" s="3"/>
      <c r="BH105" s="3"/>
      <c r="BI105" s="3"/>
      <c r="BJ105" s="3"/>
    </row>
    <row r="106" spans="3:62" x14ac:dyDescent="0.25">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c r="BA106" s="3"/>
      <c r="BB106" s="3"/>
      <c r="BC106" s="3"/>
      <c r="BD106" s="3"/>
      <c r="BE106" s="3"/>
      <c r="BF106" s="3"/>
      <c r="BG106" s="3"/>
      <c r="BH106" s="3"/>
      <c r="BI106" s="3"/>
      <c r="BJ106" s="3"/>
    </row>
    <row r="107" spans="3:62" x14ac:dyDescent="0.25">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c r="BA107" s="3"/>
      <c r="BB107" s="3"/>
      <c r="BC107" s="3"/>
      <c r="BD107" s="3"/>
      <c r="BE107" s="3"/>
      <c r="BF107" s="3"/>
      <c r="BG107" s="3"/>
      <c r="BH107" s="3"/>
      <c r="BI107" s="3"/>
      <c r="BJ107" s="3"/>
    </row>
    <row r="108" spans="3:62" x14ac:dyDescent="0.25">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c r="BA108" s="3"/>
      <c r="BB108" s="3"/>
      <c r="BC108" s="3"/>
      <c r="BD108" s="3"/>
      <c r="BE108" s="3"/>
      <c r="BF108" s="3"/>
      <c r="BG108" s="3"/>
      <c r="BH108" s="3"/>
      <c r="BI108" s="3"/>
      <c r="BJ108" s="3"/>
    </row>
    <row r="109" spans="3:62" x14ac:dyDescent="0.25">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c r="BA109" s="3"/>
      <c r="BB109" s="3"/>
      <c r="BC109" s="3"/>
      <c r="BD109" s="3"/>
      <c r="BE109" s="3"/>
      <c r="BF109" s="3"/>
      <c r="BG109" s="3"/>
      <c r="BH109" s="3"/>
      <c r="BI109" s="3"/>
      <c r="BJ109" s="3"/>
    </row>
    <row r="110" spans="3:62" x14ac:dyDescent="0.25">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c r="BA110" s="3"/>
      <c r="BB110" s="3"/>
      <c r="BC110" s="3"/>
      <c r="BD110" s="3"/>
      <c r="BE110" s="3"/>
      <c r="BF110" s="3"/>
      <c r="BG110" s="3"/>
      <c r="BH110" s="3"/>
      <c r="BI110" s="3"/>
      <c r="BJ110" s="3"/>
    </row>
    <row r="111" spans="3:62" x14ac:dyDescent="0.25">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c r="AX111" s="3"/>
      <c r="AY111" s="3"/>
      <c r="AZ111" s="3"/>
      <c r="BA111" s="3"/>
      <c r="BB111" s="3"/>
      <c r="BC111" s="3"/>
      <c r="BD111" s="3"/>
      <c r="BE111" s="3"/>
      <c r="BF111" s="3"/>
      <c r="BG111" s="3"/>
      <c r="BH111" s="3"/>
      <c r="BI111" s="3"/>
      <c r="BJ111" s="3"/>
    </row>
    <row r="112" spans="3:62" x14ac:dyDescent="0.25">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c r="AX112" s="3"/>
      <c r="AY112" s="3"/>
      <c r="AZ112" s="3"/>
      <c r="BA112" s="3"/>
      <c r="BB112" s="3"/>
      <c r="BC112" s="3"/>
      <c r="BD112" s="3"/>
      <c r="BE112" s="3"/>
      <c r="BF112" s="3"/>
      <c r="BG112" s="3"/>
      <c r="BH112" s="3"/>
      <c r="BI112" s="3"/>
      <c r="BJ112" s="3"/>
    </row>
    <row r="113" spans="3:62" x14ac:dyDescent="0.25">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c r="BA113" s="3"/>
      <c r="BB113" s="3"/>
      <c r="BC113" s="3"/>
      <c r="BD113" s="3"/>
      <c r="BE113" s="3"/>
      <c r="BF113" s="3"/>
      <c r="BG113" s="3"/>
      <c r="BH113" s="3"/>
      <c r="BI113" s="3"/>
      <c r="BJ113" s="3"/>
    </row>
    <row r="114" spans="3:62" x14ac:dyDescent="0.25">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c r="BA114" s="3"/>
      <c r="BB114" s="3"/>
      <c r="BC114" s="3"/>
      <c r="BD114" s="3"/>
      <c r="BE114" s="3"/>
      <c r="BF114" s="3"/>
      <c r="BG114" s="3"/>
      <c r="BH114" s="3"/>
      <c r="BI114" s="3"/>
      <c r="BJ114" s="3"/>
    </row>
    <row r="115" spans="3:62" x14ac:dyDescent="0.25">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c r="BA115" s="3"/>
      <c r="BB115" s="3"/>
      <c r="BC115" s="3"/>
      <c r="BD115" s="3"/>
      <c r="BE115" s="3"/>
      <c r="BF115" s="3"/>
      <c r="BG115" s="3"/>
      <c r="BH115" s="3"/>
      <c r="BI115" s="3"/>
      <c r="BJ115" s="3"/>
    </row>
    <row r="116" spans="3:62" x14ac:dyDescent="0.25">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c r="BA116" s="3"/>
      <c r="BB116" s="3"/>
      <c r="BC116" s="3"/>
      <c r="BD116" s="3"/>
      <c r="BE116" s="3"/>
      <c r="BF116" s="3"/>
      <c r="BG116" s="3"/>
      <c r="BH116" s="3"/>
      <c r="BI116" s="3"/>
      <c r="BJ116" s="3"/>
    </row>
    <row r="117" spans="3:62" x14ac:dyDescent="0.25">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c r="BA117" s="3"/>
      <c r="BB117" s="3"/>
      <c r="BC117" s="3"/>
      <c r="BD117" s="3"/>
      <c r="BE117" s="3"/>
      <c r="BF117" s="3"/>
      <c r="BG117" s="3"/>
      <c r="BH117" s="3"/>
      <c r="BI117" s="3"/>
      <c r="BJ117" s="3"/>
    </row>
    <row r="118" spans="3:62" x14ac:dyDescent="0.25">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c r="BA118" s="3"/>
      <c r="BB118" s="3"/>
      <c r="BC118" s="3"/>
      <c r="BD118" s="3"/>
      <c r="BE118" s="3"/>
      <c r="BF118" s="3"/>
      <c r="BG118" s="3"/>
      <c r="BH118" s="3"/>
      <c r="BI118" s="3"/>
      <c r="BJ118" s="3"/>
    </row>
    <row r="119" spans="3:62" x14ac:dyDescent="0.25">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c r="AX119" s="3"/>
      <c r="AY119" s="3"/>
      <c r="AZ119" s="3"/>
      <c r="BA119" s="3"/>
      <c r="BB119" s="3"/>
      <c r="BC119" s="3"/>
      <c r="BD119" s="3"/>
      <c r="BE119" s="3"/>
      <c r="BF119" s="3"/>
      <c r="BG119" s="3"/>
      <c r="BH119" s="3"/>
      <c r="BI119" s="3"/>
      <c r="BJ119" s="3"/>
    </row>
    <row r="120" spans="3:62" x14ac:dyDescent="0.25">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row>
    <row r="121" spans="3:62" x14ac:dyDescent="0.25">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c r="AX121" s="3"/>
      <c r="AY121" s="3"/>
      <c r="AZ121" s="3"/>
      <c r="BA121" s="3"/>
      <c r="BB121" s="3"/>
      <c r="BC121" s="3"/>
      <c r="BD121" s="3"/>
      <c r="BE121" s="3"/>
      <c r="BF121" s="3"/>
      <c r="BG121" s="3"/>
      <c r="BH121" s="3"/>
      <c r="BI121" s="3"/>
      <c r="BJ121" s="3"/>
    </row>
    <row r="122" spans="3:62" x14ac:dyDescent="0.25">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row>
    <row r="123" spans="3:62" x14ac:dyDescent="0.25">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row>
    <row r="124" spans="3:62" x14ac:dyDescent="0.25">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row>
    <row r="125" spans="3:62" x14ac:dyDescent="0.25">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3"/>
      <c r="AY125" s="3"/>
      <c r="AZ125" s="3"/>
      <c r="BA125" s="3"/>
      <c r="BB125" s="3"/>
      <c r="BC125" s="3"/>
      <c r="BD125" s="3"/>
      <c r="BE125" s="3"/>
      <c r="BF125" s="3"/>
      <c r="BG125" s="3"/>
      <c r="BH125" s="3"/>
      <c r="BI125" s="3"/>
      <c r="BJ125" s="3"/>
    </row>
    <row r="126" spans="3:62" x14ac:dyDescent="0.25">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row>
    <row r="127" spans="3:62" x14ac:dyDescent="0.25">
      <c r="C127" s="3"/>
      <c r="D127" s="3"/>
      <c r="E127" s="3"/>
      <c r="F127" s="3"/>
      <c r="G127" s="3"/>
      <c r="H127" s="3"/>
      <c r="I127" s="3"/>
      <c r="J127" s="3"/>
      <c r="K127" s="3"/>
      <c r="L127" s="3"/>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row>
    <row r="128" spans="3:62" x14ac:dyDescent="0.25">
      <c r="C128" s="3"/>
      <c r="D128" s="3"/>
      <c r="E128" s="3"/>
      <c r="F128" s="3"/>
      <c r="G128" s="3"/>
      <c r="H128" s="3"/>
      <c r="I128" s="3"/>
      <c r="J128" s="3"/>
      <c r="K128" s="3"/>
      <c r="L128" s="3"/>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row>
    <row r="129" spans="3:62" x14ac:dyDescent="0.25">
      <c r="C129" s="3"/>
      <c r="D129" s="3"/>
      <c r="E129" s="3"/>
      <c r="F129" s="3"/>
      <c r="G129" s="3"/>
      <c r="H129" s="3"/>
      <c r="I129" s="3"/>
      <c r="J129" s="3"/>
      <c r="K129" s="3"/>
      <c r="L129" s="3"/>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row>
    <row r="130" spans="3:62" x14ac:dyDescent="0.25">
      <c r="C130" s="3"/>
      <c r="D130" s="3"/>
      <c r="E130" s="3"/>
      <c r="F130" s="3"/>
      <c r="G130" s="3"/>
      <c r="H130" s="3"/>
      <c r="I130" s="3"/>
      <c r="J130" s="3"/>
      <c r="K130" s="3"/>
      <c r="L130" s="3"/>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row>
    <row r="131" spans="3:62" x14ac:dyDescent="0.25">
      <c r="C131" s="3"/>
      <c r="D131" s="3"/>
      <c r="E131" s="3"/>
      <c r="F131" s="3"/>
      <c r="G131" s="3"/>
      <c r="H131" s="3"/>
      <c r="I131" s="3"/>
      <c r="J131" s="3"/>
      <c r="K131" s="3"/>
      <c r="L131" s="3"/>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row>
    <row r="132" spans="3:62" x14ac:dyDescent="0.25">
      <c r="C132" s="3"/>
      <c r="D132" s="3"/>
      <c r="E132" s="3"/>
      <c r="F132" s="3"/>
      <c r="G132" s="3"/>
      <c r="H132" s="3"/>
      <c r="I132" s="3"/>
      <c r="J132" s="3"/>
      <c r="K132" s="3"/>
      <c r="L132" s="3"/>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row>
    <row r="133" spans="3:62" x14ac:dyDescent="0.25">
      <c r="C133" s="3"/>
      <c r="D133" s="3"/>
      <c r="E133" s="3"/>
      <c r="F133" s="3"/>
      <c r="G133" s="3"/>
      <c r="H133" s="3"/>
      <c r="I133" s="3"/>
      <c r="J133" s="3"/>
      <c r="K133" s="3"/>
      <c r="L133" s="3"/>
      <c r="M133" s="3"/>
      <c r="N133" s="3"/>
      <c r="O133" s="3"/>
      <c r="P133" s="3"/>
      <c r="Q133" s="3"/>
      <c r="R133" s="3"/>
      <c r="S133" s="3"/>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c r="AX133" s="3"/>
      <c r="AY133" s="3"/>
      <c r="AZ133" s="3"/>
      <c r="BA133" s="3"/>
      <c r="BB133" s="3"/>
      <c r="BC133" s="3"/>
      <c r="BD133" s="3"/>
      <c r="BE133" s="3"/>
      <c r="BF133" s="3"/>
      <c r="BG133" s="3"/>
      <c r="BH133" s="3"/>
      <c r="BI133" s="3"/>
      <c r="BJ133" s="3"/>
    </row>
    <row r="134" spans="3:62" x14ac:dyDescent="0.25">
      <c r="C134" s="3"/>
      <c r="D134" s="3"/>
      <c r="E134" s="3"/>
      <c r="F134" s="3"/>
      <c r="G134" s="3"/>
      <c r="H134" s="3"/>
      <c r="I134" s="3"/>
      <c r="J134" s="3"/>
      <c r="K134" s="3"/>
      <c r="L134" s="3"/>
      <c r="M134" s="3"/>
      <c r="N134" s="3"/>
      <c r="O134" s="3"/>
      <c r="P134" s="3"/>
      <c r="Q134" s="3"/>
      <c r="R134" s="3"/>
      <c r="S134" s="3"/>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c r="AX134" s="3"/>
      <c r="AY134" s="3"/>
      <c r="AZ134" s="3"/>
      <c r="BA134" s="3"/>
      <c r="BB134" s="3"/>
      <c r="BC134" s="3"/>
      <c r="BD134" s="3"/>
      <c r="BE134" s="3"/>
      <c r="BF134" s="3"/>
      <c r="BG134" s="3"/>
      <c r="BH134" s="3"/>
      <c r="BI134" s="3"/>
      <c r="BJ134" s="3"/>
    </row>
    <row r="135" spans="3:62" x14ac:dyDescent="0.25">
      <c r="C135" s="3"/>
      <c r="D135" s="3"/>
      <c r="E135" s="3"/>
      <c r="F135" s="3"/>
      <c r="G135" s="3"/>
      <c r="H135" s="3"/>
      <c r="I135" s="3"/>
      <c r="J135" s="3"/>
      <c r="K135" s="3"/>
      <c r="L135" s="3"/>
      <c r="M135" s="3"/>
      <c r="N135" s="3"/>
      <c r="O135" s="3"/>
      <c r="P135" s="3"/>
      <c r="Q135" s="3"/>
      <c r="R135" s="3"/>
      <c r="S135" s="3"/>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row>
    <row r="136" spans="3:62" x14ac:dyDescent="0.25">
      <c r="C136" s="3"/>
      <c r="D136" s="3"/>
      <c r="E136" s="3"/>
      <c r="F136" s="3"/>
      <c r="G136" s="3"/>
      <c r="H136" s="3"/>
      <c r="I136" s="3"/>
      <c r="J136" s="3"/>
      <c r="K136" s="3"/>
      <c r="L136" s="3"/>
      <c r="M136" s="3"/>
      <c r="N136" s="3"/>
      <c r="O136" s="3"/>
      <c r="P136" s="3"/>
      <c r="Q136" s="3"/>
      <c r="R136" s="3"/>
      <c r="S136" s="3"/>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c r="AW136" s="3"/>
      <c r="AX136" s="3"/>
      <c r="AY136" s="3"/>
      <c r="AZ136" s="3"/>
      <c r="BA136" s="3"/>
      <c r="BB136" s="3"/>
      <c r="BC136" s="3"/>
      <c r="BD136" s="3"/>
      <c r="BE136" s="3"/>
      <c r="BF136" s="3"/>
      <c r="BG136" s="3"/>
      <c r="BH136" s="3"/>
      <c r="BI136" s="3"/>
      <c r="BJ136" s="3"/>
    </row>
    <row r="137" spans="3:62" x14ac:dyDescent="0.25">
      <c r="C137" s="3"/>
      <c r="D137" s="3"/>
      <c r="E137" s="3"/>
      <c r="F137" s="3"/>
      <c r="G137" s="3"/>
      <c r="H137" s="3"/>
      <c r="I137" s="3"/>
      <c r="J137" s="3"/>
      <c r="K137" s="3"/>
      <c r="L137" s="3"/>
      <c r="M137" s="3"/>
      <c r="N137" s="3"/>
      <c r="O137" s="3"/>
      <c r="P137" s="3"/>
      <c r="Q137" s="3"/>
      <c r="R137" s="3"/>
      <c r="S137" s="3"/>
      <c r="T137" s="3"/>
      <c r="U137" s="3"/>
      <c r="V137" s="3"/>
      <c r="W137" s="3"/>
      <c r="X137" s="3"/>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c r="BA137" s="3"/>
      <c r="BB137" s="3"/>
      <c r="BC137" s="3"/>
      <c r="BD137" s="3"/>
      <c r="BE137" s="3"/>
      <c r="BF137" s="3"/>
      <c r="BG137" s="3"/>
      <c r="BH137" s="3"/>
      <c r="BI137" s="3"/>
      <c r="BJ137" s="3"/>
    </row>
    <row r="138" spans="3:62" x14ac:dyDescent="0.25">
      <c r="C138" s="3"/>
      <c r="D138" s="3"/>
      <c r="E138" s="3"/>
      <c r="F138" s="3"/>
      <c r="G138" s="3"/>
      <c r="H138" s="3"/>
      <c r="I138" s="3"/>
      <c r="J138" s="3"/>
      <c r="K138" s="3"/>
      <c r="L138" s="3"/>
      <c r="M138" s="3"/>
      <c r="N138" s="3"/>
      <c r="O138" s="3"/>
      <c r="P138" s="3"/>
      <c r="Q138" s="3"/>
      <c r="R138" s="3"/>
      <c r="S138" s="3"/>
      <c r="T138" s="3"/>
      <c r="U138" s="3"/>
      <c r="V138" s="3"/>
      <c r="W138" s="3"/>
      <c r="X138" s="3"/>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c r="AW138" s="3"/>
      <c r="AX138" s="3"/>
      <c r="AY138" s="3"/>
      <c r="AZ138" s="3"/>
      <c r="BA138" s="3"/>
      <c r="BB138" s="3"/>
      <c r="BC138" s="3"/>
      <c r="BD138" s="3"/>
      <c r="BE138" s="3"/>
      <c r="BF138" s="3"/>
      <c r="BG138" s="3"/>
      <c r="BH138" s="3"/>
      <c r="BI138" s="3"/>
      <c r="BJ138" s="3"/>
    </row>
    <row r="139" spans="3:62" x14ac:dyDescent="0.25">
      <c r="C139" s="3"/>
      <c r="D139" s="3"/>
      <c r="E139" s="3"/>
      <c r="F139" s="3"/>
      <c r="G139" s="3"/>
      <c r="H139" s="3"/>
      <c r="I139" s="3"/>
      <c r="J139" s="3"/>
      <c r="K139" s="3"/>
      <c r="L139" s="3"/>
      <c r="M139" s="3"/>
      <c r="N139" s="3"/>
      <c r="O139" s="3"/>
      <c r="P139" s="3"/>
      <c r="Q139" s="3"/>
      <c r="R139" s="3"/>
      <c r="S139" s="3"/>
      <c r="T139" s="3"/>
      <c r="U139" s="3"/>
      <c r="V139" s="3"/>
      <c r="W139" s="3"/>
      <c r="X139" s="3"/>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c r="AW139" s="3"/>
      <c r="AX139" s="3"/>
      <c r="AY139" s="3"/>
      <c r="AZ139" s="3"/>
      <c r="BA139" s="3"/>
      <c r="BB139" s="3"/>
      <c r="BC139" s="3"/>
      <c r="BD139" s="3"/>
      <c r="BE139" s="3"/>
      <c r="BF139" s="3"/>
      <c r="BG139" s="3"/>
      <c r="BH139" s="3"/>
      <c r="BI139" s="3"/>
      <c r="BJ139" s="3"/>
    </row>
    <row r="140" spans="3:62" x14ac:dyDescent="0.25">
      <c r="C140" s="3"/>
      <c r="D140" s="3"/>
      <c r="E140" s="3"/>
      <c r="F140" s="3"/>
      <c r="G140" s="3"/>
      <c r="H140" s="3"/>
      <c r="I140" s="3"/>
      <c r="J140" s="3"/>
      <c r="K140" s="3"/>
      <c r="L140" s="3"/>
      <c r="M140" s="3"/>
      <c r="N140" s="3"/>
      <c r="O140" s="3"/>
      <c r="P140" s="3"/>
      <c r="Q140" s="3"/>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c r="AW140" s="3"/>
      <c r="AX140" s="3"/>
      <c r="AY140" s="3"/>
      <c r="AZ140" s="3"/>
      <c r="BA140" s="3"/>
      <c r="BB140" s="3"/>
      <c r="BC140" s="3"/>
      <c r="BD140" s="3"/>
      <c r="BE140" s="3"/>
      <c r="BF140" s="3"/>
      <c r="BG140" s="3"/>
      <c r="BH140" s="3"/>
      <c r="BI140" s="3"/>
      <c r="BJ140" s="3"/>
    </row>
    <row r="141" spans="3:62" x14ac:dyDescent="0.25">
      <c r="C141" s="3"/>
      <c r="D141" s="3"/>
      <c r="E141" s="3"/>
      <c r="F141" s="3"/>
      <c r="G141" s="3"/>
      <c r="H141" s="3"/>
      <c r="I141" s="3"/>
      <c r="J141" s="3"/>
      <c r="K141" s="3"/>
      <c r="L141" s="3"/>
      <c r="M141" s="3"/>
      <c r="N141" s="3"/>
      <c r="O141" s="3"/>
      <c r="P141" s="3"/>
      <c r="Q141" s="3"/>
      <c r="R141" s="3"/>
      <c r="S141" s="3"/>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c r="AW141" s="3"/>
      <c r="AX141" s="3"/>
      <c r="AY141" s="3"/>
      <c r="AZ141" s="3"/>
      <c r="BA141" s="3"/>
      <c r="BB141" s="3"/>
      <c r="BC141" s="3"/>
      <c r="BD141" s="3"/>
      <c r="BE141" s="3"/>
      <c r="BF141" s="3"/>
      <c r="BG141" s="3"/>
      <c r="BH141" s="3"/>
      <c r="BI141" s="3"/>
      <c r="BJ141" s="3"/>
    </row>
    <row r="142" spans="3:62" x14ac:dyDescent="0.25">
      <c r="C142" s="3"/>
      <c r="D142" s="3"/>
      <c r="E142" s="3"/>
      <c r="F142" s="3"/>
      <c r="G142" s="3"/>
      <c r="H142" s="3"/>
      <c r="I142" s="3"/>
      <c r="J142" s="3"/>
      <c r="K142" s="3"/>
      <c r="L142" s="3"/>
      <c r="M142" s="3"/>
      <c r="N142" s="3"/>
      <c r="O142" s="3"/>
      <c r="P142" s="3"/>
      <c r="Q142" s="3"/>
      <c r="R142" s="3"/>
      <c r="S142" s="3"/>
      <c r="T142" s="3"/>
      <c r="U142" s="3"/>
      <c r="V142" s="3"/>
      <c r="W142" s="3"/>
      <c r="X142" s="3"/>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c r="AW142" s="3"/>
      <c r="AX142" s="3"/>
      <c r="AY142" s="3"/>
      <c r="AZ142" s="3"/>
      <c r="BA142" s="3"/>
      <c r="BB142" s="3"/>
      <c r="BC142" s="3"/>
      <c r="BD142" s="3"/>
      <c r="BE142" s="3"/>
      <c r="BF142" s="3"/>
      <c r="BG142" s="3"/>
      <c r="BH142" s="3"/>
      <c r="BI142" s="3"/>
      <c r="BJ142" s="3"/>
    </row>
    <row r="143" spans="3:62" x14ac:dyDescent="0.25">
      <c r="C143" s="3"/>
      <c r="D143" s="3"/>
      <c r="E143" s="3"/>
      <c r="F143" s="3"/>
      <c r="G143" s="3"/>
      <c r="H143" s="3"/>
      <c r="I143" s="3"/>
      <c r="J143" s="3"/>
      <c r="K143" s="3"/>
      <c r="L143" s="3"/>
      <c r="M143" s="3"/>
      <c r="N143" s="3"/>
      <c r="O143" s="3"/>
      <c r="P143" s="3"/>
      <c r="Q143" s="3"/>
      <c r="R143" s="3"/>
      <c r="S143" s="3"/>
      <c r="T143" s="3"/>
      <c r="U143" s="3"/>
      <c r="V143" s="3"/>
      <c r="W143" s="3"/>
      <c r="X143" s="3"/>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c r="AW143" s="3"/>
      <c r="AX143" s="3"/>
      <c r="AY143" s="3"/>
      <c r="AZ143" s="3"/>
      <c r="BA143" s="3"/>
      <c r="BB143" s="3"/>
      <c r="BC143" s="3"/>
      <c r="BD143" s="3"/>
      <c r="BE143" s="3"/>
      <c r="BF143" s="3"/>
      <c r="BG143" s="3"/>
      <c r="BH143" s="3"/>
      <c r="BI143" s="3"/>
      <c r="BJ143" s="3"/>
    </row>
    <row r="144" spans="3:62" x14ac:dyDescent="0.25">
      <c r="C144" s="3"/>
      <c r="D144" s="3"/>
      <c r="E144" s="3"/>
      <c r="F144" s="3"/>
      <c r="G144" s="3"/>
      <c r="H144" s="3"/>
      <c r="I144" s="3"/>
      <c r="J144" s="3"/>
      <c r="K144" s="3"/>
      <c r="L144" s="3"/>
      <c r="M144" s="3"/>
      <c r="N144" s="3"/>
      <c r="O144" s="3"/>
      <c r="P144" s="3"/>
      <c r="Q144" s="3"/>
      <c r="R144" s="3"/>
      <c r="S144" s="3"/>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row>
    <row r="145" spans="3:62" x14ac:dyDescent="0.25">
      <c r="C145" s="3"/>
      <c r="D145" s="3"/>
      <c r="E145" s="3"/>
      <c r="F145" s="3"/>
      <c r="G145" s="3"/>
      <c r="H145" s="3"/>
      <c r="I145" s="3"/>
      <c r="J145" s="3"/>
      <c r="K145" s="3"/>
      <c r="L145" s="3"/>
      <c r="M145" s="3"/>
      <c r="N145" s="3"/>
      <c r="O145" s="3"/>
      <c r="P145" s="3"/>
      <c r="Q145" s="3"/>
      <c r="R145" s="3"/>
      <c r="S145" s="3"/>
      <c r="T145" s="3"/>
      <c r="U145" s="3"/>
      <c r="V145" s="3"/>
      <c r="W145" s="3"/>
      <c r="X145" s="3"/>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3"/>
      <c r="BJ145" s="3"/>
    </row>
    <row r="146" spans="3:62" x14ac:dyDescent="0.25">
      <c r="C146" s="3"/>
      <c r="D146" s="3"/>
      <c r="E146" s="3"/>
      <c r="F146" s="3"/>
      <c r="G146" s="3"/>
      <c r="H146" s="3"/>
      <c r="I146" s="3"/>
      <c r="J146" s="3"/>
      <c r="K146" s="3"/>
      <c r="L146" s="3"/>
      <c r="M146" s="3"/>
      <c r="N146" s="3"/>
      <c r="O146" s="3"/>
      <c r="P146" s="3"/>
      <c r="Q146" s="3"/>
      <c r="R146" s="3"/>
      <c r="S146" s="3"/>
      <c r="T146" s="3"/>
      <c r="U146" s="3"/>
      <c r="V146" s="3"/>
      <c r="W146" s="3"/>
      <c r="X146" s="3"/>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c r="AW146" s="3"/>
      <c r="AX146" s="3"/>
      <c r="AY146" s="3"/>
      <c r="AZ146" s="3"/>
      <c r="BA146" s="3"/>
      <c r="BB146" s="3"/>
      <c r="BC146" s="3"/>
      <c r="BD146" s="3"/>
      <c r="BE146" s="3"/>
      <c r="BF146" s="3"/>
      <c r="BG146" s="3"/>
      <c r="BH146" s="3"/>
      <c r="BI146" s="3"/>
      <c r="BJ146" s="3"/>
    </row>
    <row r="147" spans="3:62" x14ac:dyDescent="0.25">
      <c r="C147" s="3"/>
      <c r="D147" s="3"/>
      <c r="E147" s="3"/>
      <c r="F147" s="3"/>
      <c r="G147" s="3"/>
      <c r="H147" s="3"/>
      <c r="I147" s="3"/>
      <c r="J147" s="3"/>
      <c r="K147" s="3"/>
      <c r="L147" s="3"/>
      <c r="M147" s="3"/>
      <c r="N147" s="3"/>
      <c r="O147" s="3"/>
      <c r="P147" s="3"/>
      <c r="Q147" s="3"/>
      <c r="R147" s="3"/>
      <c r="S147" s="3"/>
      <c r="T147" s="3"/>
      <c r="U147" s="3"/>
      <c r="V147" s="3"/>
      <c r="W147" s="3"/>
      <c r="X147" s="3"/>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c r="AW147" s="3"/>
      <c r="AX147" s="3"/>
      <c r="AY147" s="3"/>
      <c r="AZ147" s="3"/>
      <c r="BA147" s="3"/>
      <c r="BB147" s="3"/>
      <c r="BC147" s="3"/>
      <c r="BD147" s="3"/>
      <c r="BE147" s="3"/>
      <c r="BF147" s="3"/>
      <c r="BG147" s="3"/>
      <c r="BH147" s="3"/>
      <c r="BI147" s="3"/>
      <c r="BJ147" s="3"/>
    </row>
    <row r="148" spans="3:62" x14ac:dyDescent="0.25">
      <c r="C148" s="3"/>
      <c r="D148" s="3"/>
      <c r="E148" s="3"/>
      <c r="F148" s="3"/>
      <c r="G148" s="3"/>
      <c r="H148" s="3"/>
      <c r="I148" s="3"/>
      <c r="J148" s="3"/>
      <c r="K148" s="3"/>
      <c r="L148" s="3"/>
      <c r="M148" s="3"/>
      <c r="N148" s="3"/>
      <c r="O148" s="3"/>
      <c r="P148" s="3"/>
      <c r="Q148" s="3"/>
      <c r="R148" s="3"/>
      <c r="S148" s="3"/>
      <c r="T148" s="3"/>
      <c r="U148" s="3"/>
      <c r="V148" s="3"/>
      <c r="W148" s="3"/>
      <c r="X148" s="3"/>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c r="AW148" s="3"/>
      <c r="AX148" s="3"/>
      <c r="AY148" s="3"/>
      <c r="AZ148" s="3"/>
      <c r="BA148" s="3"/>
      <c r="BB148" s="3"/>
      <c r="BC148" s="3"/>
      <c r="BD148" s="3"/>
      <c r="BE148" s="3"/>
      <c r="BF148" s="3"/>
      <c r="BG148" s="3"/>
      <c r="BH148" s="3"/>
      <c r="BI148" s="3"/>
      <c r="BJ148" s="3"/>
    </row>
    <row r="149" spans="3:62" x14ac:dyDescent="0.25">
      <c r="C149" s="3"/>
      <c r="D149" s="3"/>
      <c r="E149" s="3"/>
      <c r="F149" s="3"/>
      <c r="G149" s="3"/>
      <c r="H149" s="3"/>
      <c r="I149" s="3"/>
      <c r="J149" s="3"/>
      <c r="K149" s="3"/>
      <c r="L149" s="3"/>
      <c r="M149" s="3"/>
      <c r="N149" s="3"/>
      <c r="O149" s="3"/>
      <c r="P149" s="3"/>
      <c r="Q149" s="3"/>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c r="AW149" s="3"/>
      <c r="AX149" s="3"/>
      <c r="AY149" s="3"/>
      <c r="AZ149" s="3"/>
      <c r="BA149" s="3"/>
      <c r="BB149" s="3"/>
      <c r="BC149" s="3"/>
      <c r="BD149" s="3"/>
      <c r="BE149" s="3"/>
      <c r="BF149" s="3"/>
      <c r="BG149" s="3"/>
      <c r="BH149" s="3"/>
      <c r="BI149" s="3"/>
      <c r="BJ149" s="3"/>
    </row>
    <row r="150" spans="3:62" x14ac:dyDescent="0.25">
      <c r="C150" s="3"/>
      <c r="D150" s="3"/>
      <c r="E150" s="3"/>
      <c r="F150" s="3"/>
      <c r="G150" s="3"/>
      <c r="H150" s="3"/>
      <c r="I150" s="3"/>
      <c r="J150" s="3"/>
      <c r="K150" s="3"/>
      <c r="L150" s="3"/>
      <c r="M150" s="3"/>
      <c r="N150" s="3"/>
      <c r="O150" s="3"/>
      <c r="P150" s="3"/>
      <c r="Q150" s="3"/>
      <c r="R150" s="3"/>
      <c r="S150" s="3"/>
      <c r="T150" s="3"/>
      <c r="U150" s="3"/>
      <c r="V150" s="3"/>
      <c r="W150" s="3"/>
      <c r="X150" s="3"/>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c r="AW150" s="3"/>
      <c r="AX150" s="3"/>
      <c r="AY150" s="3"/>
      <c r="AZ150" s="3"/>
      <c r="BA150" s="3"/>
      <c r="BB150" s="3"/>
      <c r="BC150" s="3"/>
      <c r="BD150" s="3"/>
      <c r="BE150" s="3"/>
      <c r="BF150" s="3"/>
      <c r="BG150" s="3"/>
      <c r="BH150" s="3"/>
      <c r="BI150" s="3"/>
      <c r="BJ150" s="3"/>
    </row>
    <row r="151" spans="3:62" x14ac:dyDescent="0.25">
      <c r="C151" s="3"/>
      <c r="D151" s="3"/>
      <c r="E151" s="3"/>
      <c r="F151" s="3"/>
      <c r="G151" s="3"/>
      <c r="H151" s="3"/>
      <c r="I151" s="3"/>
      <c r="J151" s="3"/>
      <c r="K151" s="3"/>
      <c r="L151" s="3"/>
      <c r="M151" s="3"/>
      <c r="N151" s="3"/>
      <c r="O151" s="3"/>
      <c r="P151" s="3"/>
      <c r="Q151" s="3"/>
      <c r="R151" s="3"/>
      <c r="S151" s="3"/>
      <c r="T151" s="3"/>
      <c r="U151" s="3"/>
      <c r="V151" s="3"/>
      <c r="W151" s="3"/>
      <c r="X151" s="3"/>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c r="AW151" s="3"/>
      <c r="AX151" s="3"/>
      <c r="AY151" s="3"/>
      <c r="AZ151" s="3"/>
      <c r="BA151" s="3"/>
      <c r="BB151" s="3"/>
      <c r="BC151" s="3"/>
      <c r="BD151" s="3"/>
      <c r="BE151" s="3"/>
      <c r="BF151" s="3"/>
      <c r="BG151" s="3"/>
      <c r="BH151" s="3"/>
      <c r="BI151" s="3"/>
      <c r="BJ151" s="3"/>
    </row>
    <row r="152" spans="3:62" x14ac:dyDescent="0.25">
      <c r="C152" s="3"/>
      <c r="D152" s="3"/>
      <c r="E152" s="3"/>
      <c r="F152" s="3"/>
      <c r="G152" s="3"/>
      <c r="H152" s="3"/>
      <c r="I152" s="3"/>
      <c r="J152" s="3"/>
      <c r="K152" s="3"/>
      <c r="L152" s="3"/>
      <c r="M152" s="3"/>
      <c r="N152" s="3"/>
      <c r="O152" s="3"/>
      <c r="P152" s="3"/>
      <c r="Q152" s="3"/>
      <c r="R152" s="3"/>
      <c r="S152" s="3"/>
      <c r="T152" s="3"/>
      <c r="U152" s="3"/>
      <c r="V152" s="3"/>
      <c r="W152" s="3"/>
      <c r="X152" s="3"/>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c r="AW152" s="3"/>
      <c r="AX152" s="3"/>
      <c r="AY152" s="3"/>
      <c r="AZ152" s="3"/>
      <c r="BA152" s="3"/>
      <c r="BB152" s="3"/>
      <c r="BC152" s="3"/>
      <c r="BD152" s="3"/>
      <c r="BE152" s="3"/>
      <c r="BF152" s="3"/>
      <c r="BG152" s="3"/>
      <c r="BH152" s="3"/>
      <c r="BI152" s="3"/>
      <c r="BJ152" s="3"/>
    </row>
    <row r="153" spans="3:62" x14ac:dyDescent="0.25">
      <c r="C153" s="3"/>
      <c r="D153" s="3"/>
      <c r="E153" s="3"/>
      <c r="F153" s="3"/>
      <c r="G153" s="3"/>
      <c r="H153" s="3"/>
      <c r="I153" s="3"/>
      <c r="J153" s="3"/>
      <c r="K153" s="3"/>
      <c r="L153" s="3"/>
      <c r="M153" s="3"/>
      <c r="N153" s="3"/>
      <c r="O153" s="3"/>
      <c r="P153" s="3"/>
      <c r="Q153" s="3"/>
      <c r="R153" s="3"/>
      <c r="S153" s="3"/>
      <c r="T153" s="3"/>
      <c r="U153" s="3"/>
      <c r="V153" s="3"/>
      <c r="W153" s="3"/>
      <c r="X153" s="3"/>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c r="AW153" s="3"/>
      <c r="AX153" s="3"/>
      <c r="AY153" s="3"/>
      <c r="AZ153" s="3"/>
      <c r="BA153" s="3"/>
      <c r="BB153" s="3"/>
      <c r="BC153" s="3"/>
      <c r="BD153" s="3"/>
      <c r="BE153" s="3"/>
      <c r="BF153" s="3"/>
      <c r="BG153" s="3"/>
      <c r="BH153" s="3"/>
      <c r="BI153" s="3"/>
      <c r="BJ153" s="3"/>
    </row>
    <row r="154" spans="3:62" x14ac:dyDescent="0.25">
      <c r="C154" s="3"/>
      <c r="D154" s="3"/>
      <c r="E154" s="3"/>
      <c r="F154" s="3"/>
      <c r="G154" s="3"/>
      <c r="H154" s="3"/>
      <c r="I154" s="3"/>
      <c r="J154" s="3"/>
      <c r="K154" s="3"/>
      <c r="L154" s="3"/>
      <c r="M154" s="3"/>
      <c r="N154" s="3"/>
      <c r="O154" s="3"/>
      <c r="P154" s="3"/>
      <c r="Q154" s="3"/>
      <c r="R154" s="3"/>
      <c r="S154" s="3"/>
      <c r="T154" s="3"/>
      <c r="U154" s="3"/>
      <c r="V154" s="3"/>
      <c r="W154" s="3"/>
      <c r="X154" s="3"/>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c r="AX154" s="3"/>
      <c r="AY154" s="3"/>
      <c r="AZ154" s="3"/>
      <c r="BA154" s="3"/>
      <c r="BB154" s="3"/>
      <c r="BC154" s="3"/>
      <c r="BD154" s="3"/>
      <c r="BE154" s="3"/>
      <c r="BF154" s="3"/>
      <c r="BG154" s="3"/>
      <c r="BH154" s="3"/>
      <c r="BI154" s="3"/>
      <c r="BJ154" s="3"/>
    </row>
    <row r="155" spans="3:62" x14ac:dyDescent="0.25">
      <c r="C155" s="3"/>
      <c r="D155" s="3"/>
      <c r="E155" s="3"/>
      <c r="F155" s="3"/>
      <c r="G155" s="3"/>
      <c r="H155" s="3"/>
      <c r="I155" s="3"/>
      <c r="J155" s="3"/>
      <c r="K155" s="3"/>
      <c r="L155" s="3"/>
      <c r="M155" s="3"/>
      <c r="N155" s="3"/>
      <c r="O155" s="3"/>
      <c r="P155" s="3"/>
      <c r="Q155" s="3"/>
      <c r="R155" s="3"/>
      <c r="S155" s="3"/>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c r="BA155" s="3"/>
      <c r="BB155" s="3"/>
      <c r="BC155" s="3"/>
      <c r="BD155" s="3"/>
      <c r="BE155" s="3"/>
      <c r="BF155" s="3"/>
      <c r="BG155" s="3"/>
      <c r="BH155" s="3"/>
      <c r="BI155" s="3"/>
      <c r="BJ155" s="3"/>
    </row>
    <row r="156" spans="3:62" x14ac:dyDescent="0.25">
      <c r="C156" s="3"/>
      <c r="D156" s="3"/>
      <c r="E156" s="3"/>
      <c r="F156" s="3"/>
      <c r="G156" s="3"/>
      <c r="H156" s="3"/>
      <c r="I156" s="3"/>
      <c r="J156" s="3"/>
      <c r="K156" s="3"/>
      <c r="L156" s="3"/>
      <c r="M156" s="3"/>
      <c r="N156" s="3"/>
      <c r="O156" s="3"/>
      <c r="P156" s="3"/>
      <c r="Q156" s="3"/>
      <c r="R156" s="3"/>
      <c r="S156" s="3"/>
      <c r="T156" s="3"/>
      <c r="U156" s="3"/>
      <c r="V156" s="3"/>
      <c r="W156" s="3"/>
      <c r="X156" s="3"/>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3"/>
      <c r="BJ156" s="3"/>
    </row>
    <row r="157" spans="3:62" x14ac:dyDescent="0.25">
      <c r="C157" s="3"/>
      <c r="D157" s="3"/>
      <c r="E157" s="3"/>
      <c r="F157" s="3"/>
      <c r="G157" s="3"/>
      <c r="H157" s="3"/>
      <c r="I157" s="3"/>
      <c r="J157" s="3"/>
      <c r="K157" s="3"/>
      <c r="L157" s="3"/>
      <c r="M157" s="3"/>
      <c r="N157" s="3"/>
      <c r="O157" s="3"/>
      <c r="P157" s="3"/>
      <c r="Q157" s="3"/>
      <c r="R157" s="3"/>
      <c r="S157" s="3"/>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row>
    <row r="158" spans="3:62" x14ac:dyDescent="0.25">
      <c r="C158" s="3"/>
      <c r="D158" s="3"/>
      <c r="E158" s="3"/>
      <c r="F158" s="3"/>
      <c r="G158" s="3"/>
      <c r="H158" s="3"/>
      <c r="I158" s="3"/>
      <c r="J158" s="3"/>
      <c r="K158" s="3"/>
      <c r="L158" s="3"/>
      <c r="M158" s="3"/>
      <c r="N158" s="3"/>
      <c r="O158" s="3"/>
      <c r="P158" s="3"/>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row>
    <row r="159" spans="3:62" x14ac:dyDescent="0.25">
      <c r="C159" s="3"/>
      <c r="D159" s="3"/>
      <c r="E159" s="3"/>
      <c r="F159" s="3"/>
      <c r="G159" s="3"/>
      <c r="H159" s="3"/>
      <c r="I159" s="3"/>
      <c r="J159" s="3"/>
      <c r="K159" s="3"/>
      <c r="L159" s="3"/>
      <c r="M159" s="3"/>
      <c r="N159" s="3"/>
      <c r="O159" s="3"/>
      <c r="P159" s="3"/>
      <c r="Q159" s="3"/>
      <c r="R159" s="3"/>
      <c r="S159" s="3"/>
      <c r="T159" s="3"/>
      <c r="U159" s="3"/>
      <c r="V159" s="3"/>
      <c r="W159" s="3"/>
      <c r="X159" s="3"/>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c r="AW159" s="3"/>
      <c r="AX159" s="3"/>
      <c r="AY159" s="3"/>
      <c r="AZ159" s="3"/>
      <c r="BA159" s="3"/>
      <c r="BB159" s="3"/>
      <c r="BC159" s="3"/>
      <c r="BD159" s="3"/>
      <c r="BE159" s="3"/>
      <c r="BF159" s="3"/>
      <c r="BG159" s="3"/>
      <c r="BH159" s="3"/>
      <c r="BI159" s="3"/>
      <c r="BJ159" s="3"/>
    </row>
    <row r="160" spans="3:62" x14ac:dyDescent="0.25">
      <c r="C160" s="3"/>
      <c r="D160" s="3"/>
      <c r="E160" s="3"/>
      <c r="F160" s="3"/>
      <c r="G160" s="3"/>
      <c r="H160" s="3"/>
      <c r="I160" s="3"/>
      <c r="J160" s="3"/>
      <c r="K160" s="3"/>
      <c r="L160" s="3"/>
      <c r="M160" s="3"/>
      <c r="N160" s="3"/>
      <c r="O160" s="3"/>
      <c r="P160" s="3"/>
      <c r="Q160" s="3"/>
      <c r="R160" s="3"/>
      <c r="S160" s="3"/>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c r="BA160" s="3"/>
      <c r="BB160" s="3"/>
      <c r="BC160" s="3"/>
      <c r="BD160" s="3"/>
      <c r="BE160" s="3"/>
      <c r="BF160" s="3"/>
      <c r="BG160" s="3"/>
      <c r="BH160" s="3"/>
      <c r="BI160" s="3"/>
      <c r="BJ160" s="3"/>
    </row>
    <row r="161" spans="3:62" x14ac:dyDescent="0.25">
      <c r="C161" s="3"/>
      <c r="D161" s="3"/>
      <c r="E161" s="3"/>
      <c r="F161" s="3"/>
      <c r="G161" s="3"/>
      <c r="H161" s="3"/>
      <c r="I161" s="3"/>
      <c r="J161" s="3"/>
      <c r="K161" s="3"/>
      <c r="L161" s="3"/>
      <c r="M161" s="3"/>
      <c r="N161" s="3"/>
      <c r="O161" s="3"/>
      <c r="P161" s="3"/>
      <c r="Q161" s="3"/>
      <c r="R161" s="3"/>
      <c r="S161" s="3"/>
      <c r="T161" s="3"/>
      <c r="U161" s="3"/>
      <c r="V161" s="3"/>
      <c r="W161" s="3"/>
      <c r="X161" s="3"/>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c r="AW161" s="3"/>
      <c r="AX161" s="3"/>
      <c r="AY161" s="3"/>
      <c r="AZ161" s="3"/>
      <c r="BA161" s="3"/>
      <c r="BB161" s="3"/>
      <c r="BC161" s="3"/>
      <c r="BD161" s="3"/>
      <c r="BE161" s="3"/>
      <c r="BF161" s="3"/>
      <c r="BG161" s="3"/>
      <c r="BH161" s="3"/>
      <c r="BI161" s="3"/>
      <c r="BJ161" s="3"/>
    </row>
    <row r="162" spans="3:62" x14ac:dyDescent="0.25">
      <c r="C162" s="3"/>
      <c r="D162" s="3"/>
      <c r="E162" s="3"/>
      <c r="F162" s="3"/>
      <c r="G162" s="3"/>
      <c r="H162" s="3"/>
      <c r="I162" s="3"/>
      <c r="J162" s="3"/>
      <c r="K162" s="3"/>
      <c r="L162" s="3"/>
      <c r="M162" s="3"/>
      <c r="N162" s="3"/>
      <c r="O162" s="3"/>
      <c r="P162" s="3"/>
      <c r="Q162" s="3"/>
      <c r="R162" s="3"/>
      <c r="S162" s="3"/>
      <c r="T162" s="3"/>
      <c r="U162" s="3"/>
      <c r="V162" s="3"/>
      <c r="W162" s="3"/>
      <c r="X162" s="3"/>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c r="AW162" s="3"/>
      <c r="AX162" s="3"/>
      <c r="AY162" s="3"/>
      <c r="AZ162" s="3"/>
      <c r="BA162" s="3"/>
      <c r="BB162" s="3"/>
      <c r="BC162" s="3"/>
      <c r="BD162" s="3"/>
      <c r="BE162" s="3"/>
      <c r="BF162" s="3"/>
      <c r="BG162" s="3"/>
      <c r="BH162" s="3"/>
      <c r="BI162" s="3"/>
      <c r="BJ162" s="3"/>
    </row>
    <row r="163" spans="3:62" x14ac:dyDescent="0.25">
      <c r="C163" s="3"/>
      <c r="D163" s="3"/>
      <c r="E163" s="3"/>
      <c r="F163" s="3"/>
      <c r="G163" s="3"/>
      <c r="H163" s="3"/>
      <c r="I163" s="3"/>
      <c r="J163" s="3"/>
      <c r="K163" s="3"/>
      <c r="L163" s="3"/>
      <c r="M163" s="3"/>
      <c r="N163" s="3"/>
      <c r="O163" s="3"/>
      <c r="P163" s="3"/>
      <c r="Q163" s="3"/>
      <c r="R163" s="3"/>
      <c r="S163" s="3"/>
      <c r="T163" s="3"/>
      <c r="U163" s="3"/>
      <c r="V163" s="3"/>
      <c r="W163" s="3"/>
      <c r="X163" s="3"/>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c r="AX163" s="3"/>
      <c r="AY163" s="3"/>
      <c r="AZ163" s="3"/>
      <c r="BA163" s="3"/>
      <c r="BB163" s="3"/>
      <c r="BC163" s="3"/>
      <c r="BD163" s="3"/>
      <c r="BE163" s="3"/>
      <c r="BF163" s="3"/>
      <c r="BG163" s="3"/>
      <c r="BH163" s="3"/>
      <c r="BI163" s="3"/>
      <c r="BJ163" s="3"/>
    </row>
    <row r="164" spans="3:62" x14ac:dyDescent="0.25">
      <c r="C164" s="3"/>
      <c r="D164" s="3"/>
      <c r="E164" s="3"/>
      <c r="F164" s="3"/>
      <c r="G164" s="3"/>
      <c r="H164" s="3"/>
      <c r="I164" s="3"/>
      <c r="J164" s="3"/>
      <c r="K164" s="3"/>
      <c r="L164" s="3"/>
      <c r="M164" s="3"/>
      <c r="N164" s="3"/>
      <c r="O164" s="3"/>
      <c r="P164" s="3"/>
      <c r="Q164" s="3"/>
      <c r="R164" s="3"/>
      <c r="S164" s="3"/>
      <c r="T164" s="3"/>
      <c r="U164" s="3"/>
      <c r="V164" s="3"/>
      <c r="W164" s="3"/>
      <c r="X164" s="3"/>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row>
    <row r="165" spans="3:62" x14ac:dyDescent="0.25">
      <c r="C165" s="3"/>
      <c r="D165" s="3"/>
      <c r="E165" s="3"/>
      <c r="F165" s="3"/>
      <c r="G165" s="3"/>
      <c r="H165" s="3"/>
      <c r="I165" s="3"/>
      <c r="J165" s="3"/>
      <c r="K165" s="3"/>
      <c r="L165" s="3"/>
      <c r="M165" s="3"/>
      <c r="N165" s="3"/>
      <c r="O165" s="3"/>
      <c r="P165" s="3"/>
      <c r="Q165" s="3"/>
      <c r="R165" s="3"/>
      <c r="S165" s="3"/>
      <c r="T165" s="3"/>
      <c r="U165" s="3"/>
      <c r="V165" s="3"/>
      <c r="W165" s="3"/>
      <c r="X165" s="3"/>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c r="BE165" s="3"/>
      <c r="BF165" s="3"/>
      <c r="BG165" s="3"/>
      <c r="BH165" s="3"/>
      <c r="BI165" s="3"/>
      <c r="BJ165" s="3"/>
    </row>
    <row r="166" spans="3:62" x14ac:dyDescent="0.25">
      <c r="C166" s="3"/>
      <c r="D166" s="3"/>
      <c r="E166" s="3"/>
      <c r="F166" s="3"/>
      <c r="G166" s="3"/>
      <c r="H166" s="3"/>
      <c r="I166" s="3"/>
      <c r="J166" s="3"/>
      <c r="K166" s="3"/>
      <c r="L166" s="3"/>
      <c r="M166" s="3"/>
      <c r="N166" s="3"/>
      <c r="O166" s="3"/>
      <c r="P166" s="3"/>
      <c r="Q166" s="3"/>
      <c r="R166" s="3"/>
      <c r="S166" s="3"/>
      <c r="T166" s="3"/>
      <c r="U166" s="3"/>
      <c r="V166" s="3"/>
      <c r="W166" s="3"/>
      <c r="X166" s="3"/>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row>
    <row r="167" spans="3:62" x14ac:dyDescent="0.25">
      <c r="C167" s="3"/>
      <c r="D167" s="3"/>
      <c r="E167" s="3"/>
      <c r="F167" s="3"/>
      <c r="G167" s="3"/>
      <c r="H167" s="3"/>
      <c r="I167" s="3"/>
      <c r="J167" s="3"/>
      <c r="K167" s="3"/>
      <c r="L167" s="3"/>
      <c r="M167" s="3"/>
      <c r="N167" s="3"/>
      <c r="O167" s="3"/>
      <c r="P167" s="3"/>
      <c r="Q167" s="3"/>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row>
    <row r="168" spans="3:62" x14ac:dyDescent="0.25">
      <c r="C168" s="3"/>
      <c r="D168" s="3"/>
      <c r="E168" s="3"/>
      <c r="F168" s="3"/>
      <c r="G168" s="3"/>
      <c r="H168" s="3"/>
      <c r="I168" s="3"/>
      <c r="J168" s="3"/>
      <c r="K168" s="3"/>
      <c r="L168" s="3"/>
      <c r="M168" s="3"/>
      <c r="N168" s="3"/>
      <c r="O168" s="3"/>
      <c r="P168" s="3"/>
      <c r="Q168" s="3"/>
      <c r="R168" s="3"/>
      <c r="S168" s="3"/>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row>
    <row r="169" spans="3:62" x14ac:dyDescent="0.25">
      <c r="C169" s="3"/>
      <c r="D169" s="3"/>
      <c r="E169" s="3"/>
      <c r="F169" s="3"/>
      <c r="G169" s="3"/>
      <c r="H169" s="3"/>
      <c r="I169" s="3"/>
      <c r="J169" s="3"/>
      <c r="K169" s="3"/>
      <c r="L169" s="3"/>
      <c r="M169" s="3"/>
      <c r="N169" s="3"/>
      <c r="O169" s="3"/>
      <c r="P169" s="3"/>
      <c r="Q169" s="3"/>
      <c r="R169" s="3"/>
      <c r="S169" s="3"/>
      <c r="T169" s="3"/>
      <c r="U169" s="3"/>
      <c r="V169" s="3"/>
      <c r="W169" s="3"/>
      <c r="X169" s="3"/>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row>
    <row r="170" spans="3:62" x14ac:dyDescent="0.25">
      <c r="C170" s="3"/>
      <c r="D170" s="3"/>
      <c r="E170" s="3"/>
      <c r="F170" s="3"/>
      <c r="G170" s="3"/>
      <c r="H170" s="3"/>
      <c r="I170" s="3"/>
      <c r="J170" s="3"/>
      <c r="K170" s="3"/>
      <c r="L170" s="3"/>
      <c r="M170" s="3"/>
      <c r="N170" s="3"/>
      <c r="O170" s="3"/>
      <c r="P170" s="3"/>
      <c r="Q170" s="3"/>
      <c r="R170" s="3"/>
      <c r="S170" s="3"/>
      <c r="T170" s="3"/>
      <c r="U170" s="3"/>
      <c r="V170" s="3"/>
      <c r="W170" s="3"/>
      <c r="X170" s="3"/>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row>
    <row r="171" spans="3:62" x14ac:dyDescent="0.25">
      <c r="C171" s="3"/>
      <c r="D171" s="3"/>
      <c r="E171" s="3"/>
      <c r="F171" s="3"/>
      <c r="G171" s="3"/>
      <c r="H171" s="3"/>
      <c r="I171" s="3"/>
      <c r="J171" s="3"/>
      <c r="K171" s="3"/>
      <c r="L171" s="3"/>
      <c r="M171" s="3"/>
      <c r="N171" s="3"/>
      <c r="O171" s="3"/>
      <c r="P171" s="3"/>
      <c r="Q171" s="3"/>
      <c r="R171" s="3"/>
      <c r="S171" s="3"/>
      <c r="T171" s="3"/>
      <c r="U171" s="3"/>
      <c r="V171" s="3"/>
      <c r="W171" s="3"/>
      <c r="X171" s="3"/>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row>
    <row r="172" spans="3:62" x14ac:dyDescent="0.25">
      <c r="C172" s="3"/>
      <c r="D172" s="3"/>
      <c r="E172" s="3"/>
      <c r="F172" s="3"/>
      <c r="G172" s="3"/>
      <c r="H172" s="3"/>
      <c r="I172" s="3"/>
      <c r="J172" s="3"/>
      <c r="K172" s="3"/>
      <c r="L172" s="3"/>
      <c r="M172" s="3"/>
      <c r="N172" s="3"/>
      <c r="O172" s="3"/>
      <c r="P172" s="3"/>
      <c r="Q172" s="3"/>
      <c r="R172" s="3"/>
      <c r="S172" s="3"/>
      <c r="T172" s="3"/>
      <c r="U172" s="3"/>
      <c r="V172" s="3"/>
      <c r="W172" s="3"/>
      <c r="X172" s="3"/>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row>
    <row r="173" spans="3:62" x14ac:dyDescent="0.25">
      <c r="C173" s="3"/>
      <c r="D173" s="3"/>
      <c r="E173" s="3"/>
      <c r="F173" s="3"/>
      <c r="G173" s="3"/>
      <c r="H173" s="3"/>
      <c r="I173" s="3"/>
      <c r="J173" s="3"/>
      <c r="K173" s="3"/>
      <c r="L173" s="3"/>
      <c r="M173" s="3"/>
      <c r="N173" s="3"/>
      <c r="O173" s="3"/>
      <c r="P173" s="3"/>
      <c r="Q173" s="3"/>
      <c r="R173" s="3"/>
      <c r="S173" s="3"/>
      <c r="T173" s="3"/>
      <c r="U173" s="3"/>
      <c r="V173" s="3"/>
      <c r="W173" s="3"/>
      <c r="X173" s="3"/>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row>
    <row r="174" spans="3:62" x14ac:dyDescent="0.25">
      <c r="C174" s="3"/>
      <c r="D174" s="3"/>
      <c r="E174" s="3"/>
      <c r="F174" s="3"/>
      <c r="G174" s="3"/>
      <c r="H174" s="3"/>
      <c r="I174" s="3"/>
      <c r="J174" s="3"/>
      <c r="K174" s="3"/>
      <c r="L174" s="3"/>
      <c r="M174" s="3"/>
      <c r="N174" s="3"/>
      <c r="O174" s="3"/>
      <c r="P174" s="3"/>
      <c r="Q174" s="3"/>
      <c r="R174" s="3"/>
      <c r="S174" s="3"/>
      <c r="T174" s="3"/>
      <c r="U174" s="3"/>
      <c r="V174" s="3"/>
      <c r="W174" s="3"/>
      <c r="X174" s="3"/>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row>
    <row r="175" spans="3:62" x14ac:dyDescent="0.25">
      <c r="C175" s="3"/>
      <c r="D175" s="3"/>
      <c r="E175" s="3"/>
      <c r="F175" s="3"/>
      <c r="G175" s="3"/>
      <c r="H175" s="3"/>
      <c r="I175" s="3"/>
      <c r="J175" s="3"/>
      <c r="K175" s="3"/>
      <c r="L175" s="3"/>
      <c r="M175" s="3"/>
      <c r="N175" s="3"/>
      <c r="O175" s="3"/>
      <c r="P175" s="3"/>
      <c r="Q175" s="3"/>
      <c r="R175" s="3"/>
      <c r="S175" s="3"/>
      <c r="T175" s="3"/>
      <c r="U175" s="3"/>
      <c r="V175" s="3"/>
      <c r="W175" s="3"/>
      <c r="X175" s="3"/>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row>
    <row r="176" spans="3:62" x14ac:dyDescent="0.25">
      <c r="C176" s="3"/>
      <c r="D176" s="3"/>
      <c r="E176" s="3"/>
      <c r="F176" s="3"/>
      <c r="G176" s="3"/>
      <c r="H176" s="3"/>
      <c r="I176" s="3"/>
      <c r="J176" s="3"/>
      <c r="K176" s="3"/>
      <c r="L176" s="3"/>
      <c r="M176" s="3"/>
      <c r="N176" s="3"/>
      <c r="O176" s="3"/>
      <c r="P176" s="3"/>
      <c r="Q176" s="3"/>
      <c r="R176" s="3"/>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row>
    <row r="177" spans="3:62" x14ac:dyDescent="0.25">
      <c r="C177" s="3"/>
      <c r="D177" s="3"/>
      <c r="E177" s="3"/>
      <c r="F177" s="3"/>
      <c r="G177" s="3"/>
      <c r="H177" s="3"/>
      <c r="I177" s="3"/>
      <c r="J177" s="3"/>
      <c r="K177" s="3"/>
      <c r="L177" s="3"/>
      <c r="M177" s="3"/>
      <c r="N177" s="3"/>
      <c r="O177" s="3"/>
      <c r="P177" s="3"/>
      <c r="Q177" s="3"/>
      <c r="R177" s="3"/>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row>
    <row r="178" spans="3:62" x14ac:dyDescent="0.25">
      <c r="C178" s="3"/>
      <c r="D178" s="3"/>
      <c r="E178" s="3"/>
      <c r="F178" s="3"/>
      <c r="G178" s="3"/>
      <c r="H178" s="3"/>
      <c r="I178" s="3"/>
      <c r="J178" s="3"/>
      <c r="K178" s="3"/>
      <c r="L178" s="3"/>
      <c r="M178" s="3"/>
      <c r="N178" s="3"/>
      <c r="O178" s="3"/>
      <c r="P178" s="3"/>
      <c r="Q178" s="3"/>
      <c r="R178" s="3"/>
      <c r="S178" s="3"/>
      <c r="T178" s="3"/>
      <c r="U178" s="3"/>
      <c r="V178" s="3"/>
      <c r="W178" s="3"/>
      <c r="X178" s="3"/>
      <c r="Y178" s="3"/>
      <c r="Z178" s="3"/>
      <c r="AA178" s="3"/>
      <c r="AB178" s="3"/>
      <c r="AC178" s="3"/>
      <c r="AD178" s="3"/>
      <c r="AE178" s="3"/>
      <c r="AF178" s="3"/>
      <c r="AG178" s="3"/>
      <c r="AH178" s="3"/>
      <c r="AI178" s="3"/>
      <c r="AJ178" s="3"/>
      <c r="AK178" s="3"/>
      <c r="AL178" s="3"/>
      <c r="AM178" s="3"/>
      <c r="AN178" s="3"/>
      <c r="AO178" s="3"/>
      <c r="AP178" s="3"/>
      <c r="AQ178" s="3"/>
      <c r="AR178" s="3"/>
      <c r="AS178" s="3"/>
      <c r="AT178" s="3"/>
      <c r="AU178" s="3"/>
      <c r="AV178" s="3"/>
      <c r="AW178" s="3"/>
      <c r="AX178" s="3"/>
      <c r="AY178" s="3"/>
      <c r="AZ178" s="3"/>
      <c r="BA178" s="3"/>
      <c r="BB178" s="3"/>
      <c r="BC178" s="3"/>
      <c r="BD178" s="3"/>
      <c r="BE178" s="3"/>
      <c r="BF178" s="3"/>
      <c r="BG178" s="3"/>
      <c r="BH178" s="3"/>
      <c r="BI178" s="3"/>
      <c r="BJ178" s="3"/>
    </row>
    <row r="179" spans="3:62" x14ac:dyDescent="0.25">
      <c r="C179" s="3"/>
      <c r="D179" s="3"/>
      <c r="E179" s="3"/>
      <c r="F179" s="3"/>
      <c r="G179" s="3"/>
      <c r="H179" s="3"/>
      <c r="I179" s="3"/>
      <c r="J179" s="3"/>
      <c r="K179" s="3"/>
      <c r="L179" s="3"/>
      <c r="M179" s="3"/>
      <c r="N179" s="3"/>
      <c r="O179" s="3"/>
      <c r="P179" s="3"/>
      <c r="Q179" s="3"/>
      <c r="R179" s="3"/>
      <c r="S179" s="3"/>
      <c r="T179" s="3"/>
      <c r="U179" s="3"/>
      <c r="V179" s="3"/>
      <c r="W179" s="3"/>
      <c r="X179" s="3"/>
      <c r="Y179" s="3"/>
      <c r="Z179" s="3"/>
      <c r="AA179" s="3"/>
      <c r="AB179" s="3"/>
      <c r="AC179" s="3"/>
      <c r="AD179" s="3"/>
      <c r="AE179" s="3"/>
      <c r="AF179" s="3"/>
      <c r="AG179" s="3"/>
      <c r="AH179" s="3"/>
      <c r="AI179" s="3"/>
      <c r="AJ179" s="3"/>
      <c r="AK179" s="3"/>
      <c r="AL179" s="3"/>
      <c r="AM179" s="3"/>
      <c r="AN179" s="3"/>
      <c r="AO179" s="3"/>
      <c r="AP179" s="3"/>
      <c r="AQ179" s="3"/>
      <c r="AR179" s="3"/>
      <c r="AS179" s="3"/>
      <c r="AT179" s="3"/>
      <c r="AU179" s="3"/>
      <c r="AV179" s="3"/>
      <c r="AW179" s="3"/>
      <c r="AX179" s="3"/>
      <c r="AY179" s="3"/>
      <c r="AZ179" s="3"/>
      <c r="BA179" s="3"/>
      <c r="BB179" s="3"/>
      <c r="BC179" s="3"/>
      <c r="BD179" s="3"/>
      <c r="BE179" s="3"/>
      <c r="BF179" s="3"/>
      <c r="BG179" s="3"/>
      <c r="BH179" s="3"/>
      <c r="BI179" s="3"/>
      <c r="BJ179" s="3"/>
    </row>
    <row r="180" spans="3:62" x14ac:dyDescent="0.25">
      <c r="C180" s="3"/>
      <c r="D180" s="3"/>
      <c r="E180" s="3"/>
      <c r="F180" s="3"/>
      <c r="G180" s="3"/>
      <c r="H180" s="3"/>
      <c r="I180" s="3"/>
      <c r="J180" s="3"/>
      <c r="K180" s="3"/>
      <c r="L180" s="3"/>
      <c r="M180" s="3"/>
      <c r="N180" s="3"/>
      <c r="O180" s="3"/>
      <c r="P180" s="3"/>
      <c r="Q180" s="3"/>
      <c r="R180" s="3"/>
      <c r="S180" s="3"/>
      <c r="T180" s="3"/>
      <c r="U180" s="3"/>
      <c r="V180" s="3"/>
      <c r="W180" s="3"/>
      <c r="X180" s="3"/>
      <c r="Y180" s="3"/>
      <c r="Z180" s="3"/>
      <c r="AA180" s="3"/>
      <c r="AB180" s="3"/>
      <c r="AC180" s="3"/>
      <c r="AD180" s="3"/>
      <c r="AE180" s="3"/>
      <c r="AF180" s="3"/>
      <c r="AG180" s="3"/>
      <c r="AH180" s="3"/>
      <c r="AI180" s="3"/>
      <c r="AJ180" s="3"/>
      <c r="AK180" s="3"/>
      <c r="AL180" s="3"/>
      <c r="AM180" s="3"/>
      <c r="AN180" s="3"/>
      <c r="AO180" s="3"/>
      <c r="AP180" s="3"/>
      <c r="AQ180" s="3"/>
      <c r="AR180" s="3"/>
      <c r="AS180" s="3"/>
      <c r="AT180" s="3"/>
      <c r="AU180" s="3"/>
      <c r="AV180" s="3"/>
      <c r="AW180" s="3"/>
      <c r="AX180" s="3"/>
      <c r="AY180" s="3"/>
      <c r="AZ180" s="3"/>
      <c r="BA180" s="3"/>
      <c r="BB180" s="3"/>
      <c r="BC180" s="3"/>
      <c r="BD180" s="3"/>
      <c r="BE180" s="3"/>
      <c r="BF180" s="3"/>
      <c r="BG180" s="3"/>
      <c r="BH180" s="3"/>
      <c r="BI180" s="3"/>
      <c r="BJ180" s="3"/>
    </row>
    <row r="181" spans="3:62" x14ac:dyDescent="0.25">
      <c r="C181" s="3"/>
      <c r="D181" s="3"/>
      <c r="E181" s="3"/>
      <c r="F181" s="3"/>
      <c r="G181" s="3"/>
      <c r="H181" s="3"/>
      <c r="I181" s="3"/>
      <c r="J181" s="3"/>
      <c r="K181" s="3"/>
      <c r="L181" s="3"/>
      <c r="M181" s="3"/>
      <c r="N181" s="3"/>
      <c r="O181" s="3"/>
      <c r="P181" s="3"/>
      <c r="Q181" s="3"/>
      <c r="R181" s="3"/>
      <c r="S181" s="3"/>
      <c r="T181" s="3"/>
      <c r="U181" s="3"/>
      <c r="V181" s="3"/>
      <c r="W181" s="3"/>
      <c r="X181" s="3"/>
      <c r="Y181" s="3"/>
      <c r="Z181" s="3"/>
      <c r="AA181" s="3"/>
      <c r="AB181" s="3"/>
      <c r="AC181" s="3"/>
      <c r="AD181" s="3"/>
      <c r="AE181" s="3"/>
      <c r="AF181" s="3"/>
      <c r="AG181" s="3"/>
      <c r="AH181" s="3"/>
      <c r="AI181" s="3"/>
      <c r="AJ181" s="3"/>
      <c r="AK181" s="3"/>
      <c r="AL181" s="3"/>
      <c r="AM181" s="3"/>
      <c r="AN181" s="3"/>
      <c r="AO181" s="3"/>
      <c r="AP181" s="3"/>
      <c r="AQ181" s="3"/>
      <c r="AR181" s="3"/>
      <c r="AS181" s="3"/>
      <c r="AT181" s="3"/>
      <c r="AU181" s="3"/>
      <c r="AV181" s="3"/>
      <c r="AW181" s="3"/>
      <c r="AX181" s="3"/>
      <c r="AY181" s="3"/>
      <c r="AZ181" s="3"/>
      <c r="BA181" s="3"/>
      <c r="BB181" s="3"/>
      <c r="BC181" s="3"/>
      <c r="BD181" s="3"/>
      <c r="BE181" s="3"/>
      <c r="BF181" s="3"/>
      <c r="BG181" s="3"/>
      <c r="BH181" s="3"/>
      <c r="BI181" s="3"/>
      <c r="BJ181" s="3"/>
    </row>
    <row r="182" spans="3:62" x14ac:dyDescent="0.25">
      <c r="C182" s="3"/>
      <c r="D182" s="3"/>
      <c r="E182" s="3"/>
      <c r="F182" s="3"/>
      <c r="G182" s="3"/>
      <c r="H182" s="3"/>
      <c r="I182" s="3"/>
      <c r="J182" s="3"/>
      <c r="K182" s="3"/>
      <c r="L182" s="3"/>
      <c r="M182" s="3"/>
      <c r="N182" s="3"/>
      <c r="O182" s="3"/>
      <c r="P182" s="3"/>
      <c r="Q182" s="3"/>
      <c r="R182" s="3"/>
      <c r="S182" s="3"/>
      <c r="T182" s="3"/>
      <c r="U182" s="3"/>
      <c r="V182" s="3"/>
      <c r="W182" s="3"/>
      <c r="X182" s="3"/>
      <c r="Y182" s="3"/>
      <c r="Z182" s="3"/>
      <c r="AA182" s="3"/>
      <c r="AB182" s="3"/>
      <c r="AC182" s="3"/>
      <c r="AD182" s="3"/>
      <c r="AE182" s="3"/>
      <c r="AF182" s="3"/>
      <c r="AG182" s="3"/>
      <c r="AH182" s="3"/>
      <c r="AI182" s="3"/>
      <c r="AJ182" s="3"/>
      <c r="AK182" s="3"/>
      <c r="AL182" s="3"/>
      <c r="AM182" s="3"/>
      <c r="AN182" s="3"/>
      <c r="AO182" s="3"/>
      <c r="AP182" s="3"/>
      <c r="AQ182" s="3"/>
      <c r="AR182" s="3"/>
      <c r="AS182" s="3"/>
      <c r="AT182" s="3"/>
      <c r="AU182" s="3"/>
      <c r="AV182" s="3"/>
      <c r="AW182" s="3"/>
      <c r="AX182" s="3"/>
      <c r="AY182" s="3"/>
      <c r="AZ182" s="3"/>
      <c r="BA182" s="3"/>
      <c r="BB182" s="3"/>
      <c r="BC182" s="3"/>
      <c r="BD182" s="3"/>
      <c r="BE182" s="3"/>
      <c r="BF182" s="3"/>
      <c r="BG182" s="3"/>
      <c r="BH182" s="3"/>
      <c r="BI182" s="3"/>
      <c r="BJ182" s="3"/>
    </row>
    <row r="183" spans="3:62" x14ac:dyDescent="0.25">
      <c r="C183" s="3"/>
      <c r="D183" s="3"/>
      <c r="E183" s="3"/>
      <c r="F183" s="3"/>
      <c r="G183" s="3"/>
      <c r="H183" s="3"/>
      <c r="I183" s="3"/>
      <c r="J183" s="3"/>
      <c r="K183" s="3"/>
      <c r="L183" s="3"/>
      <c r="M183" s="3"/>
      <c r="N183" s="3"/>
      <c r="O183" s="3"/>
      <c r="P183" s="3"/>
      <c r="Q183" s="3"/>
      <c r="R183" s="3"/>
      <c r="S183" s="3"/>
      <c r="T183" s="3"/>
      <c r="U183" s="3"/>
      <c r="V183" s="3"/>
      <c r="W183" s="3"/>
      <c r="X183" s="3"/>
      <c r="Y183" s="3"/>
      <c r="Z183" s="3"/>
      <c r="AA183" s="3"/>
      <c r="AB183" s="3"/>
      <c r="AC183" s="3"/>
      <c r="AD183" s="3"/>
      <c r="AE183" s="3"/>
      <c r="AF183" s="3"/>
      <c r="AG183" s="3"/>
      <c r="AH183" s="3"/>
      <c r="AI183" s="3"/>
      <c r="AJ183" s="3"/>
      <c r="AK183" s="3"/>
      <c r="AL183" s="3"/>
      <c r="AM183" s="3"/>
      <c r="AN183" s="3"/>
      <c r="AO183" s="3"/>
      <c r="AP183" s="3"/>
      <c r="AQ183" s="3"/>
      <c r="AR183" s="3"/>
      <c r="AS183" s="3"/>
      <c r="AT183" s="3"/>
      <c r="AU183" s="3"/>
      <c r="AV183" s="3"/>
      <c r="AW183" s="3"/>
      <c r="AX183" s="3"/>
      <c r="AY183" s="3"/>
      <c r="AZ183" s="3"/>
      <c r="BA183" s="3"/>
      <c r="BB183" s="3"/>
      <c r="BC183" s="3"/>
      <c r="BD183" s="3"/>
      <c r="BE183" s="3"/>
      <c r="BF183" s="3"/>
      <c r="BG183" s="3"/>
      <c r="BH183" s="3"/>
      <c r="BI183" s="3"/>
      <c r="BJ183" s="3"/>
    </row>
    <row r="184" spans="3:62" x14ac:dyDescent="0.25">
      <c r="C184" s="3"/>
      <c r="D184" s="3"/>
      <c r="E184" s="3"/>
      <c r="F184" s="3"/>
      <c r="G184" s="3"/>
      <c r="H184" s="3"/>
      <c r="I184" s="3"/>
      <c r="J184" s="3"/>
      <c r="K184" s="3"/>
      <c r="L184" s="3"/>
      <c r="M184" s="3"/>
      <c r="N184" s="3"/>
      <c r="O184" s="3"/>
      <c r="P184" s="3"/>
      <c r="Q184" s="3"/>
      <c r="R184" s="3"/>
      <c r="S184" s="3"/>
      <c r="T184" s="3"/>
      <c r="U184" s="3"/>
      <c r="V184" s="3"/>
      <c r="W184" s="3"/>
      <c r="X184" s="3"/>
      <c r="Y184" s="3"/>
      <c r="Z184" s="3"/>
      <c r="AA184" s="3"/>
      <c r="AB184" s="3"/>
      <c r="AC184" s="3"/>
      <c r="AD184" s="3"/>
      <c r="AE184" s="3"/>
      <c r="AF184" s="3"/>
      <c r="AG184" s="3"/>
      <c r="AH184" s="3"/>
      <c r="AI184" s="3"/>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row>
    <row r="185" spans="3:62" x14ac:dyDescent="0.25">
      <c r="C185" s="3"/>
      <c r="D185" s="3"/>
      <c r="E185" s="3"/>
      <c r="F185" s="3"/>
      <c r="G185" s="3"/>
      <c r="H185" s="3"/>
      <c r="I185" s="3"/>
      <c r="J185" s="3"/>
      <c r="K185" s="3"/>
      <c r="L185" s="3"/>
      <c r="M185" s="3"/>
      <c r="N185" s="3"/>
      <c r="O185" s="3"/>
      <c r="P185" s="3"/>
      <c r="Q185" s="3"/>
      <c r="R185" s="3"/>
      <c r="S185" s="3"/>
      <c r="T185" s="3"/>
      <c r="U185" s="3"/>
      <c r="V185" s="3"/>
      <c r="W185" s="3"/>
      <c r="X185" s="3"/>
      <c r="Y185" s="3"/>
      <c r="Z185" s="3"/>
      <c r="AA185" s="3"/>
      <c r="AB185" s="3"/>
      <c r="AC185" s="3"/>
      <c r="AD185" s="3"/>
      <c r="AE185" s="3"/>
      <c r="AF185" s="3"/>
      <c r="AG185" s="3"/>
      <c r="AH185" s="3"/>
      <c r="AI185" s="3"/>
      <c r="AJ185" s="3"/>
      <c r="AK185" s="3"/>
      <c r="AL185" s="3"/>
      <c r="AM185" s="3"/>
      <c r="AN185" s="3"/>
      <c r="AO185" s="3"/>
      <c r="AP185" s="3"/>
      <c r="AQ185" s="3"/>
      <c r="AR185" s="3"/>
      <c r="AS185" s="3"/>
      <c r="AT185" s="3"/>
      <c r="AU185" s="3"/>
      <c r="AV185" s="3"/>
      <c r="AW185" s="3"/>
      <c r="AX185" s="3"/>
      <c r="AY185" s="3"/>
      <c r="AZ185" s="3"/>
      <c r="BA185" s="3"/>
      <c r="BB185" s="3"/>
      <c r="BC185" s="3"/>
      <c r="BD185" s="3"/>
      <c r="BE185" s="3"/>
      <c r="BF185" s="3"/>
      <c r="BG185" s="3"/>
      <c r="BH185" s="3"/>
      <c r="BI185" s="3"/>
      <c r="BJ185" s="3"/>
    </row>
    <row r="186" spans="3:62" x14ac:dyDescent="0.25">
      <c r="C186" s="3"/>
      <c r="D186" s="3"/>
      <c r="E186" s="3"/>
      <c r="F186" s="3"/>
      <c r="G186" s="3"/>
      <c r="H186" s="3"/>
      <c r="I186" s="3"/>
      <c r="J186" s="3"/>
      <c r="K186" s="3"/>
      <c r="L186" s="3"/>
      <c r="M186" s="3"/>
      <c r="N186" s="3"/>
      <c r="O186" s="3"/>
      <c r="P186" s="3"/>
      <c r="Q186" s="3"/>
      <c r="R186" s="3"/>
      <c r="S186" s="3"/>
      <c r="T186" s="3"/>
      <c r="U186" s="3"/>
      <c r="V186" s="3"/>
      <c r="W186" s="3"/>
      <c r="X186" s="3"/>
      <c r="Y186" s="3"/>
      <c r="Z186" s="3"/>
      <c r="AA186" s="3"/>
      <c r="AB186" s="3"/>
      <c r="AC186" s="3"/>
      <c r="AD186" s="3"/>
      <c r="AE186" s="3"/>
      <c r="AF186" s="3"/>
      <c r="AG186" s="3"/>
      <c r="AH186" s="3"/>
      <c r="AI186" s="3"/>
      <c r="AJ186" s="3"/>
      <c r="AK186" s="3"/>
      <c r="AL186" s="3"/>
      <c r="AM186" s="3"/>
      <c r="AN186" s="3"/>
      <c r="AO186" s="3"/>
      <c r="AP186" s="3"/>
      <c r="AQ186" s="3"/>
      <c r="AR186" s="3"/>
      <c r="AS186" s="3"/>
      <c r="AT186" s="3"/>
      <c r="AU186" s="3"/>
      <c r="AV186" s="3"/>
      <c r="AW186" s="3"/>
      <c r="AX186" s="3"/>
      <c r="AY186" s="3"/>
      <c r="AZ186" s="3"/>
      <c r="BA186" s="3"/>
      <c r="BB186" s="3"/>
      <c r="BC186" s="3"/>
      <c r="BD186" s="3"/>
      <c r="BE186" s="3"/>
      <c r="BF186" s="3"/>
      <c r="BG186" s="3"/>
      <c r="BH186" s="3"/>
      <c r="BI186" s="3"/>
      <c r="BJ186" s="3"/>
    </row>
    <row r="187" spans="3:62" x14ac:dyDescent="0.25">
      <c r="C187" s="3"/>
      <c r="D187" s="3"/>
      <c r="E187" s="3"/>
      <c r="F187" s="3"/>
      <c r="G187" s="3"/>
      <c r="H187" s="3"/>
      <c r="I187" s="3"/>
      <c r="J187" s="3"/>
      <c r="K187" s="3"/>
      <c r="L187" s="3"/>
      <c r="M187" s="3"/>
      <c r="N187" s="3"/>
      <c r="O187" s="3"/>
      <c r="P187" s="3"/>
      <c r="Q187" s="3"/>
      <c r="R187" s="3"/>
      <c r="S187" s="3"/>
      <c r="T187" s="3"/>
      <c r="U187" s="3"/>
      <c r="V187" s="3"/>
      <c r="W187" s="3"/>
      <c r="X187" s="3"/>
      <c r="Y187" s="3"/>
      <c r="Z187" s="3"/>
      <c r="AA187" s="3"/>
      <c r="AB187" s="3"/>
      <c r="AC187" s="3"/>
      <c r="AD187" s="3"/>
      <c r="AE187" s="3"/>
      <c r="AF187" s="3"/>
      <c r="AG187" s="3"/>
      <c r="AH187" s="3"/>
      <c r="AI187" s="3"/>
      <c r="AJ187" s="3"/>
      <c r="AK187" s="3"/>
      <c r="AL187" s="3"/>
      <c r="AM187" s="3"/>
      <c r="AN187" s="3"/>
      <c r="AO187" s="3"/>
      <c r="AP187" s="3"/>
      <c r="AQ187" s="3"/>
      <c r="AR187" s="3"/>
      <c r="AS187" s="3"/>
      <c r="AT187" s="3"/>
      <c r="AU187" s="3"/>
      <c r="AV187" s="3"/>
      <c r="AW187" s="3"/>
      <c r="AX187" s="3"/>
      <c r="AY187" s="3"/>
      <c r="AZ187" s="3"/>
      <c r="BA187" s="3"/>
      <c r="BB187" s="3"/>
      <c r="BC187" s="3"/>
      <c r="BD187" s="3"/>
      <c r="BE187" s="3"/>
      <c r="BF187" s="3"/>
      <c r="BG187" s="3"/>
      <c r="BH187" s="3"/>
      <c r="BI187" s="3"/>
      <c r="BJ187" s="3"/>
    </row>
    <row r="188" spans="3:62" x14ac:dyDescent="0.25">
      <c r="C188" s="3"/>
      <c r="D188" s="3"/>
      <c r="E188" s="3"/>
      <c r="F188" s="3"/>
      <c r="G188" s="3"/>
      <c r="H188" s="3"/>
      <c r="I188" s="3"/>
      <c r="J188" s="3"/>
      <c r="K188" s="3"/>
      <c r="L188" s="3"/>
      <c r="M188" s="3"/>
      <c r="N188" s="3"/>
      <c r="O188" s="3"/>
      <c r="P188" s="3"/>
      <c r="Q188" s="3"/>
      <c r="R188" s="3"/>
      <c r="S188" s="3"/>
      <c r="T188" s="3"/>
      <c r="U188" s="3"/>
      <c r="V188" s="3"/>
      <c r="W188" s="3"/>
      <c r="X188" s="3"/>
      <c r="Y188" s="3"/>
      <c r="Z188" s="3"/>
      <c r="AA188" s="3"/>
      <c r="AB188" s="3"/>
      <c r="AC188" s="3"/>
      <c r="AD188" s="3"/>
      <c r="AE188" s="3"/>
      <c r="AF188" s="3"/>
      <c r="AG188" s="3"/>
      <c r="AH188" s="3"/>
      <c r="AI188" s="3"/>
      <c r="AJ188" s="3"/>
      <c r="AK188" s="3"/>
      <c r="AL188" s="3"/>
      <c r="AM188" s="3"/>
      <c r="AN188" s="3"/>
      <c r="AO188" s="3"/>
      <c r="AP188" s="3"/>
      <c r="AQ188" s="3"/>
      <c r="AR188" s="3"/>
      <c r="AS188" s="3"/>
      <c r="AT188" s="3"/>
      <c r="AU188" s="3"/>
      <c r="AV188" s="3"/>
      <c r="AW188" s="3"/>
      <c r="AX188" s="3"/>
      <c r="AY188" s="3"/>
      <c r="AZ188" s="3"/>
      <c r="BA188" s="3"/>
      <c r="BB188" s="3"/>
      <c r="BC188" s="3"/>
      <c r="BD188" s="3"/>
      <c r="BE188" s="3"/>
      <c r="BF188" s="3"/>
      <c r="BG188" s="3"/>
      <c r="BH188" s="3"/>
      <c r="BI188" s="3"/>
      <c r="BJ188" s="3"/>
    </row>
    <row r="189" spans="3:62" x14ac:dyDescent="0.25">
      <c r="C189" s="3"/>
      <c r="D189" s="3"/>
      <c r="E189" s="3"/>
      <c r="F189" s="3"/>
      <c r="G189" s="3"/>
      <c r="H189" s="3"/>
      <c r="I189" s="3"/>
      <c r="J189" s="3"/>
      <c r="K189" s="3"/>
      <c r="L189" s="3"/>
      <c r="M189" s="3"/>
      <c r="N189" s="3"/>
      <c r="O189" s="3"/>
      <c r="P189" s="3"/>
      <c r="Q189" s="3"/>
      <c r="R189" s="3"/>
      <c r="S189" s="3"/>
      <c r="T189" s="3"/>
      <c r="U189" s="3"/>
      <c r="V189" s="3"/>
      <c r="W189" s="3"/>
      <c r="X189" s="3"/>
      <c r="Y189" s="3"/>
      <c r="Z189" s="3"/>
      <c r="AA189" s="3"/>
      <c r="AB189" s="3"/>
      <c r="AC189" s="3"/>
      <c r="AD189" s="3"/>
      <c r="AE189" s="3"/>
      <c r="AF189" s="3"/>
      <c r="AG189" s="3"/>
      <c r="AH189" s="3"/>
      <c r="AI189" s="3"/>
      <c r="AJ189" s="3"/>
      <c r="AK189" s="3"/>
      <c r="AL189" s="3"/>
      <c r="AM189" s="3"/>
      <c r="AN189" s="3"/>
      <c r="AO189" s="3"/>
      <c r="AP189" s="3"/>
      <c r="AQ189" s="3"/>
      <c r="AR189" s="3"/>
      <c r="AS189" s="3"/>
      <c r="AT189" s="3"/>
      <c r="AU189" s="3"/>
      <c r="AV189" s="3"/>
      <c r="AW189" s="3"/>
      <c r="AX189" s="3"/>
      <c r="AY189" s="3"/>
      <c r="AZ189" s="3"/>
      <c r="BA189" s="3"/>
      <c r="BB189" s="3"/>
      <c r="BC189" s="3"/>
      <c r="BD189" s="3"/>
      <c r="BE189" s="3"/>
      <c r="BF189" s="3"/>
      <c r="BG189" s="3"/>
      <c r="BH189" s="3"/>
      <c r="BI189" s="3"/>
      <c r="BJ189" s="3"/>
    </row>
    <row r="190" spans="3:62" x14ac:dyDescent="0.25">
      <c r="C190" s="3"/>
      <c r="D190" s="3"/>
      <c r="E190" s="3"/>
      <c r="F190" s="3"/>
      <c r="G190" s="3"/>
      <c r="H190" s="3"/>
      <c r="I190" s="3"/>
      <c r="J190" s="3"/>
      <c r="K190" s="3"/>
      <c r="L190" s="3"/>
      <c r="M190" s="3"/>
      <c r="N190" s="3"/>
      <c r="O190" s="3"/>
      <c r="P190" s="3"/>
      <c r="Q190" s="3"/>
      <c r="R190" s="3"/>
      <c r="S190" s="3"/>
      <c r="T190" s="3"/>
      <c r="U190" s="3"/>
      <c r="V190" s="3"/>
      <c r="W190" s="3"/>
      <c r="X190" s="3"/>
      <c r="Y190" s="3"/>
      <c r="Z190" s="3"/>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c r="BA190" s="3"/>
      <c r="BB190" s="3"/>
      <c r="BC190" s="3"/>
      <c r="BD190" s="3"/>
      <c r="BE190" s="3"/>
      <c r="BF190" s="3"/>
      <c r="BG190" s="3"/>
      <c r="BH190" s="3"/>
      <c r="BI190" s="3"/>
      <c r="BJ190" s="3"/>
    </row>
    <row r="191" spans="3:62" x14ac:dyDescent="0.25">
      <c r="C191" s="3"/>
      <c r="D191" s="3"/>
      <c r="E191" s="3"/>
      <c r="F191" s="3"/>
      <c r="G191" s="3"/>
      <c r="H191" s="3"/>
      <c r="I191" s="3"/>
      <c r="J191" s="3"/>
      <c r="K191" s="3"/>
      <c r="L191" s="3"/>
      <c r="M191" s="3"/>
      <c r="N191" s="3"/>
      <c r="O191" s="3"/>
      <c r="P191" s="3"/>
      <c r="Q191" s="3"/>
      <c r="R191" s="3"/>
      <c r="S191" s="3"/>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c r="BA191" s="3"/>
      <c r="BB191" s="3"/>
      <c r="BC191" s="3"/>
      <c r="BD191" s="3"/>
      <c r="BE191" s="3"/>
      <c r="BF191" s="3"/>
      <c r="BG191" s="3"/>
      <c r="BH191" s="3"/>
      <c r="BI191" s="3"/>
      <c r="BJ191" s="3"/>
    </row>
    <row r="192" spans="3:62" x14ac:dyDescent="0.25">
      <c r="C192" s="3"/>
      <c r="D192" s="3"/>
      <c r="E192" s="3"/>
      <c r="F192" s="3"/>
      <c r="G192" s="3"/>
      <c r="H192" s="3"/>
      <c r="I192" s="3"/>
      <c r="J192" s="3"/>
      <c r="K192" s="3"/>
      <c r="L192" s="3"/>
      <c r="M192" s="3"/>
      <c r="N192" s="3"/>
      <c r="O192" s="3"/>
      <c r="P192" s="3"/>
      <c r="Q192" s="3"/>
      <c r="R192" s="3"/>
      <c r="S192" s="3"/>
      <c r="T192" s="3"/>
      <c r="U192" s="3"/>
      <c r="V192" s="3"/>
      <c r="W192" s="3"/>
      <c r="X192" s="3"/>
      <c r="Y192" s="3"/>
      <c r="Z192" s="3"/>
      <c r="AA192" s="3"/>
      <c r="AB192" s="3"/>
      <c r="AC192" s="3"/>
      <c r="AD192" s="3"/>
      <c r="AE192" s="3"/>
      <c r="AF192" s="3"/>
      <c r="AG192" s="3"/>
      <c r="AH192" s="3"/>
      <c r="AI192" s="3"/>
      <c r="AJ192" s="3"/>
      <c r="AK192" s="3"/>
      <c r="AL192" s="3"/>
      <c r="AM192" s="3"/>
      <c r="AN192" s="3"/>
      <c r="AO192" s="3"/>
      <c r="AP192" s="3"/>
      <c r="AQ192" s="3"/>
      <c r="AR192" s="3"/>
      <c r="AS192" s="3"/>
      <c r="AT192" s="3"/>
      <c r="AU192" s="3"/>
      <c r="AV192" s="3"/>
      <c r="AW192" s="3"/>
      <c r="AX192" s="3"/>
      <c r="AY192" s="3"/>
      <c r="AZ192" s="3"/>
      <c r="BA192" s="3"/>
      <c r="BB192" s="3"/>
      <c r="BC192" s="3"/>
      <c r="BD192" s="3"/>
      <c r="BE192" s="3"/>
      <c r="BF192" s="3"/>
      <c r="BG192" s="3"/>
      <c r="BH192" s="3"/>
      <c r="BI192" s="3"/>
      <c r="BJ192" s="3"/>
    </row>
    <row r="193" spans="3:62" x14ac:dyDescent="0.25">
      <c r="C193" s="3"/>
      <c r="D193" s="3"/>
      <c r="E193" s="3"/>
      <c r="F193" s="3"/>
      <c r="G193" s="3"/>
      <c r="H193" s="3"/>
      <c r="I193" s="3"/>
      <c r="J193" s="3"/>
      <c r="K193" s="3"/>
      <c r="L193" s="3"/>
      <c r="M193" s="3"/>
      <c r="N193" s="3"/>
      <c r="O193" s="3"/>
      <c r="P193" s="3"/>
      <c r="Q193" s="3"/>
      <c r="R193" s="3"/>
      <c r="S193" s="3"/>
      <c r="T193" s="3"/>
      <c r="U193" s="3"/>
      <c r="V193" s="3"/>
      <c r="W193" s="3"/>
      <c r="X193" s="3"/>
      <c r="Y193" s="3"/>
      <c r="Z193" s="3"/>
      <c r="AA193" s="3"/>
      <c r="AB193" s="3"/>
      <c r="AC193" s="3"/>
      <c r="AD193" s="3"/>
      <c r="AE193" s="3"/>
      <c r="AF193" s="3"/>
      <c r="AG193" s="3"/>
      <c r="AH193" s="3"/>
      <c r="AI193" s="3"/>
      <c r="AJ193" s="3"/>
      <c r="AK193" s="3"/>
      <c r="AL193" s="3"/>
      <c r="AM193" s="3"/>
      <c r="AN193" s="3"/>
      <c r="AO193" s="3"/>
      <c r="AP193" s="3"/>
      <c r="AQ193" s="3"/>
      <c r="AR193" s="3"/>
      <c r="AS193" s="3"/>
      <c r="AT193" s="3"/>
      <c r="AU193" s="3"/>
      <c r="AV193" s="3"/>
      <c r="AW193" s="3"/>
      <c r="AX193" s="3"/>
      <c r="AY193" s="3"/>
      <c r="AZ193" s="3"/>
      <c r="BA193" s="3"/>
      <c r="BB193" s="3"/>
      <c r="BC193" s="3"/>
      <c r="BD193" s="3"/>
      <c r="BE193" s="3"/>
      <c r="BF193" s="3"/>
      <c r="BG193" s="3"/>
      <c r="BH193" s="3"/>
      <c r="BI193" s="3"/>
      <c r="BJ193" s="3"/>
    </row>
    <row r="194" spans="3:62" x14ac:dyDescent="0.25">
      <c r="C194" s="3"/>
      <c r="D194" s="3"/>
      <c r="E194" s="3"/>
      <c r="F194" s="3"/>
      <c r="G194" s="3"/>
      <c r="H194" s="3"/>
      <c r="I194" s="3"/>
      <c r="J194" s="3"/>
      <c r="K194" s="3"/>
      <c r="L194" s="3"/>
      <c r="M194" s="3"/>
      <c r="N194" s="3"/>
      <c r="O194" s="3"/>
      <c r="P194" s="3"/>
      <c r="Q194" s="3"/>
      <c r="R194" s="3"/>
      <c r="S194" s="3"/>
      <c r="T194" s="3"/>
      <c r="U194" s="3"/>
      <c r="V194" s="3"/>
      <c r="W194" s="3"/>
      <c r="X194" s="3"/>
      <c r="Y194" s="3"/>
      <c r="Z194" s="3"/>
      <c r="AA194" s="3"/>
      <c r="AB194" s="3"/>
      <c r="AC194" s="3"/>
      <c r="AD194" s="3"/>
      <c r="AE194" s="3"/>
      <c r="AF194" s="3"/>
      <c r="AG194" s="3"/>
      <c r="AH194" s="3"/>
      <c r="AI194" s="3"/>
      <c r="AJ194" s="3"/>
      <c r="AK194" s="3"/>
      <c r="AL194" s="3"/>
      <c r="AM194" s="3"/>
      <c r="AN194" s="3"/>
      <c r="AO194" s="3"/>
      <c r="AP194" s="3"/>
      <c r="AQ194" s="3"/>
      <c r="AR194" s="3"/>
      <c r="AS194" s="3"/>
      <c r="AT194" s="3"/>
      <c r="AU194" s="3"/>
      <c r="AV194" s="3"/>
      <c r="AW194" s="3"/>
      <c r="AX194" s="3"/>
      <c r="AY194" s="3"/>
      <c r="AZ194" s="3"/>
      <c r="BA194" s="3"/>
      <c r="BB194" s="3"/>
      <c r="BC194" s="3"/>
      <c r="BD194" s="3"/>
      <c r="BE194" s="3"/>
      <c r="BF194" s="3"/>
      <c r="BG194" s="3"/>
      <c r="BH194" s="3"/>
      <c r="BI194" s="3"/>
      <c r="BJ194" s="3"/>
    </row>
    <row r="195" spans="3:62" x14ac:dyDescent="0.25">
      <c r="C195" s="3"/>
      <c r="D195" s="3"/>
      <c r="E195" s="3"/>
      <c r="F195" s="3"/>
      <c r="G195" s="3"/>
      <c r="H195" s="3"/>
      <c r="I195" s="3"/>
      <c r="J195" s="3"/>
      <c r="K195" s="3"/>
      <c r="L195" s="3"/>
      <c r="M195" s="3"/>
      <c r="N195" s="3"/>
      <c r="O195" s="3"/>
      <c r="P195" s="3"/>
      <c r="Q195" s="3"/>
      <c r="R195" s="3"/>
      <c r="S195" s="3"/>
      <c r="T195" s="3"/>
      <c r="U195" s="3"/>
      <c r="V195" s="3"/>
      <c r="W195" s="3"/>
      <c r="X195" s="3"/>
      <c r="Y195" s="3"/>
      <c r="Z195" s="3"/>
      <c r="AA195" s="3"/>
      <c r="AB195" s="3"/>
      <c r="AC195" s="3"/>
      <c r="AD195" s="3"/>
      <c r="AE195" s="3"/>
      <c r="AF195" s="3"/>
      <c r="AG195" s="3"/>
      <c r="AH195" s="3"/>
      <c r="AI195" s="3"/>
      <c r="AJ195" s="3"/>
      <c r="AK195" s="3"/>
      <c r="AL195" s="3"/>
      <c r="AM195" s="3"/>
      <c r="AN195" s="3"/>
      <c r="AO195" s="3"/>
      <c r="AP195" s="3"/>
      <c r="AQ195" s="3"/>
      <c r="AR195" s="3"/>
      <c r="AS195" s="3"/>
      <c r="AT195" s="3"/>
      <c r="AU195" s="3"/>
      <c r="AV195" s="3"/>
      <c r="AW195" s="3"/>
      <c r="AX195" s="3"/>
      <c r="AY195" s="3"/>
      <c r="AZ195" s="3"/>
      <c r="BA195" s="3"/>
      <c r="BB195" s="3"/>
      <c r="BC195" s="3"/>
      <c r="BD195" s="3"/>
      <c r="BE195" s="3"/>
      <c r="BF195" s="3"/>
      <c r="BG195" s="3"/>
      <c r="BH195" s="3"/>
      <c r="BI195" s="3"/>
      <c r="BJ195" s="3"/>
    </row>
    <row r="196" spans="3:62" x14ac:dyDescent="0.25">
      <c r="C196" s="3"/>
      <c r="D196" s="3"/>
      <c r="E196" s="3"/>
      <c r="F196" s="3"/>
      <c r="G196" s="3"/>
      <c r="H196" s="3"/>
      <c r="I196" s="3"/>
      <c r="J196" s="3"/>
      <c r="K196" s="3"/>
      <c r="L196" s="3"/>
      <c r="M196" s="3"/>
      <c r="N196" s="3"/>
      <c r="O196" s="3"/>
      <c r="P196" s="3"/>
      <c r="Q196" s="3"/>
      <c r="R196" s="3"/>
      <c r="S196" s="3"/>
      <c r="T196" s="3"/>
      <c r="U196" s="3"/>
      <c r="V196" s="3"/>
      <c r="W196" s="3"/>
      <c r="X196" s="3"/>
      <c r="Y196" s="3"/>
      <c r="Z196" s="3"/>
      <c r="AA196" s="3"/>
      <c r="AB196" s="3"/>
      <c r="AC196" s="3"/>
      <c r="AD196" s="3"/>
      <c r="AE196" s="3"/>
      <c r="AF196" s="3"/>
      <c r="AG196" s="3"/>
      <c r="AH196" s="3"/>
      <c r="AI196" s="3"/>
      <c r="AJ196" s="3"/>
      <c r="AK196" s="3"/>
      <c r="AL196" s="3"/>
      <c r="AM196" s="3"/>
      <c r="AN196" s="3"/>
      <c r="AO196" s="3"/>
      <c r="AP196" s="3"/>
      <c r="AQ196" s="3"/>
      <c r="AR196" s="3"/>
      <c r="AS196" s="3"/>
      <c r="AT196" s="3"/>
      <c r="AU196" s="3"/>
      <c r="AV196" s="3"/>
      <c r="AW196" s="3"/>
      <c r="AX196" s="3"/>
      <c r="AY196" s="3"/>
      <c r="AZ196" s="3"/>
      <c r="BA196" s="3"/>
      <c r="BB196" s="3"/>
      <c r="BC196" s="3"/>
      <c r="BD196" s="3"/>
      <c r="BE196" s="3"/>
      <c r="BF196" s="3"/>
      <c r="BG196" s="3"/>
      <c r="BH196" s="3"/>
      <c r="BI196" s="3"/>
      <c r="BJ196" s="3"/>
    </row>
    <row r="197" spans="3:62" x14ac:dyDescent="0.25">
      <c r="C197" s="3"/>
      <c r="D197" s="3"/>
      <c r="E197" s="3"/>
      <c r="F197" s="3"/>
      <c r="G197" s="3"/>
      <c r="H197" s="3"/>
      <c r="I197" s="3"/>
      <c r="J197" s="3"/>
      <c r="K197" s="3"/>
      <c r="L197" s="3"/>
      <c r="M197" s="3"/>
      <c r="N197" s="3"/>
      <c r="O197" s="3"/>
      <c r="P197" s="3"/>
      <c r="Q197" s="3"/>
      <c r="R197" s="3"/>
      <c r="S197" s="3"/>
      <c r="T197" s="3"/>
      <c r="U197" s="3"/>
      <c r="V197" s="3"/>
      <c r="W197" s="3"/>
      <c r="X197" s="3"/>
      <c r="Y197" s="3"/>
      <c r="Z197" s="3"/>
      <c r="AA197" s="3"/>
      <c r="AB197" s="3"/>
      <c r="AC197" s="3"/>
      <c r="AD197" s="3"/>
      <c r="AE197" s="3"/>
      <c r="AF197" s="3"/>
      <c r="AG197" s="3"/>
      <c r="AH197" s="3"/>
      <c r="AI197" s="3"/>
      <c r="AJ197" s="3"/>
      <c r="AK197" s="3"/>
      <c r="AL197" s="3"/>
      <c r="AM197" s="3"/>
      <c r="AN197" s="3"/>
      <c r="AO197" s="3"/>
      <c r="AP197" s="3"/>
      <c r="AQ197" s="3"/>
      <c r="AR197" s="3"/>
      <c r="AS197" s="3"/>
      <c r="AT197" s="3"/>
      <c r="AU197" s="3"/>
      <c r="AV197" s="3"/>
      <c r="AW197" s="3"/>
      <c r="AX197" s="3"/>
      <c r="AY197" s="3"/>
      <c r="AZ197" s="3"/>
      <c r="BA197" s="3"/>
      <c r="BB197" s="3"/>
      <c r="BC197" s="3"/>
      <c r="BD197" s="3"/>
      <c r="BE197" s="3"/>
      <c r="BF197" s="3"/>
      <c r="BG197" s="3"/>
      <c r="BH197" s="3"/>
      <c r="BI197" s="3"/>
      <c r="BJ197" s="3"/>
    </row>
    <row r="198" spans="3:62" x14ac:dyDescent="0.25">
      <c r="C198" s="3"/>
      <c r="D198" s="3"/>
      <c r="E198" s="3"/>
      <c r="F198" s="3"/>
      <c r="G198" s="3"/>
      <c r="H198" s="3"/>
      <c r="I198" s="3"/>
      <c r="J198" s="3"/>
      <c r="K198" s="3"/>
      <c r="L198" s="3"/>
      <c r="M198" s="3"/>
      <c r="N198" s="3"/>
      <c r="O198" s="3"/>
      <c r="P198" s="3"/>
      <c r="Q198" s="3"/>
      <c r="R198" s="3"/>
      <c r="S198" s="3"/>
      <c r="T198" s="3"/>
      <c r="U198" s="3"/>
      <c r="V198" s="3"/>
      <c r="W198" s="3"/>
      <c r="X198" s="3"/>
      <c r="Y198" s="3"/>
      <c r="Z198" s="3"/>
      <c r="AA198" s="3"/>
      <c r="AB198" s="3"/>
      <c r="AC198" s="3"/>
      <c r="AD198" s="3"/>
      <c r="AE198" s="3"/>
      <c r="AF198" s="3"/>
      <c r="AG198" s="3"/>
      <c r="AH198" s="3"/>
      <c r="AI198" s="3"/>
      <c r="AJ198" s="3"/>
      <c r="AK198" s="3"/>
      <c r="AL198" s="3"/>
      <c r="AM198" s="3"/>
      <c r="AN198" s="3"/>
      <c r="AO198" s="3"/>
      <c r="AP198" s="3"/>
      <c r="AQ198" s="3"/>
      <c r="AR198" s="3"/>
      <c r="AS198" s="3"/>
      <c r="AT198" s="3"/>
      <c r="AU198" s="3"/>
      <c r="AV198" s="3"/>
      <c r="AW198" s="3"/>
      <c r="AX198" s="3"/>
      <c r="AY198" s="3"/>
      <c r="AZ198" s="3"/>
      <c r="BA198" s="3"/>
      <c r="BB198" s="3"/>
      <c r="BC198" s="3"/>
      <c r="BD198" s="3"/>
      <c r="BE198" s="3"/>
      <c r="BF198" s="3"/>
      <c r="BG198" s="3"/>
      <c r="BH198" s="3"/>
      <c r="BI198" s="3"/>
      <c r="BJ198" s="3"/>
    </row>
    <row r="199" spans="3:62" x14ac:dyDescent="0.25">
      <c r="C199" s="3"/>
      <c r="D199" s="3"/>
      <c r="E199" s="3"/>
      <c r="F199" s="3"/>
      <c r="G199" s="3"/>
      <c r="H199" s="3"/>
      <c r="I199" s="3"/>
      <c r="J199" s="3"/>
      <c r="K199" s="3"/>
      <c r="L199" s="3"/>
      <c r="M199" s="3"/>
      <c r="N199" s="3"/>
      <c r="O199" s="3"/>
      <c r="P199" s="3"/>
      <c r="Q199" s="3"/>
      <c r="R199" s="3"/>
      <c r="S199" s="3"/>
      <c r="T199" s="3"/>
      <c r="U199" s="3"/>
      <c r="V199" s="3"/>
      <c r="W199" s="3"/>
      <c r="X199" s="3"/>
      <c r="Y199" s="3"/>
      <c r="Z199" s="3"/>
      <c r="AA199" s="3"/>
      <c r="AB199" s="3"/>
      <c r="AC199" s="3"/>
      <c r="AD199" s="3"/>
      <c r="AE199" s="3"/>
      <c r="AF199" s="3"/>
      <c r="AG199" s="3"/>
      <c r="AH199" s="3"/>
      <c r="AI199" s="3"/>
      <c r="AJ199" s="3"/>
      <c r="AK199" s="3"/>
      <c r="AL199" s="3"/>
      <c r="AM199" s="3"/>
      <c r="AN199" s="3"/>
      <c r="AO199" s="3"/>
      <c r="AP199" s="3"/>
      <c r="AQ199" s="3"/>
      <c r="AR199" s="3"/>
      <c r="AS199" s="3"/>
      <c r="AT199" s="3"/>
      <c r="AU199" s="3"/>
      <c r="AV199" s="3"/>
      <c r="AW199" s="3"/>
      <c r="AX199" s="3"/>
      <c r="AY199" s="3"/>
      <c r="AZ199" s="3"/>
      <c r="BA199" s="3"/>
      <c r="BB199" s="3"/>
      <c r="BC199" s="3"/>
      <c r="BD199" s="3"/>
      <c r="BE199" s="3"/>
      <c r="BF199" s="3"/>
      <c r="BG199" s="3"/>
      <c r="BH199" s="3"/>
      <c r="BI199" s="3"/>
      <c r="BJ199" s="3"/>
    </row>
    <row r="200" spans="3:62" x14ac:dyDescent="0.25">
      <c r="C200" s="3"/>
      <c r="D200" s="3"/>
      <c r="E200" s="3"/>
      <c r="F200" s="3"/>
      <c r="G200" s="3"/>
      <c r="H200" s="3"/>
      <c r="I200" s="3"/>
      <c r="J200" s="3"/>
      <c r="K200" s="3"/>
      <c r="L200" s="3"/>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row>
    <row r="201" spans="3:62" x14ac:dyDescent="0.25">
      <c r="C201" s="3"/>
      <c r="D201" s="3"/>
      <c r="E201" s="3"/>
      <c r="F201" s="3"/>
      <c r="G201" s="3"/>
      <c r="H201" s="3"/>
      <c r="I201" s="3"/>
      <c r="J201" s="3"/>
      <c r="K201" s="3"/>
      <c r="L201" s="3"/>
      <c r="M201" s="3"/>
      <c r="N201" s="3"/>
      <c r="O201" s="3"/>
      <c r="P201" s="3"/>
      <c r="Q201" s="3"/>
      <c r="R201" s="3"/>
      <c r="S201" s="3"/>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row>
    <row r="202" spans="3:62" x14ac:dyDescent="0.25">
      <c r="C202" s="3"/>
      <c r="D202" s="3"/>
      <c r="E202" s="3"/>
      <c r="F202" s="3"/>
      <c r="G202" s="3"/>
      <c r="H202" s="3"/>
      <c r="I202" s="3"/>
      <c r="J202" s="3"/>
      <c r="K202" s="3"/>
      <c r="L202" s="3"/>
      <c r="M202" s="3"/>
      <c r="N202" s="3"/>
      <c r="O202" s="3"/>
      <c r="P202" s="3"/>
      <c r="Q202" s="3"/>
      <c r="R202" s="3"/>
      <c r="S202" s="3"/>
      <c r="T202" s="3"/>
      <c r="U202" s="3"/>
      <c r="V202" s="3"/>
      <c r="W202" s="3"/>
      <c r="X202" s="3"/>
      <c r="Y202" s="3"/>
      <c r="Z202" s="3"/>
      <c r="AA202" s="3"/>
      <c r="AB202" s="3"/>
      <c r="AC202" s="3"/>
      <c r="AD202" s="3"/>
      <c r="AE202" s="3"/>
      <c r="AF202" s="3"/>
      <c r="AG202" s="3"/>
      <c r="AH202" s="3"/>
      <c r="AI202" s="3"/>
      <c r="AJ202" s="3"/>
      <c r="AK202" s="3"/>
      <c r="AL202" s="3"/>
      <c r="AM202" s="3"/>
      <c r="AN202" s="3"/>
      <c r="AO202" s="3"/>
      <c r="AP202" s="3"/>
      <c r="AQ202" s="3"/>
      <c r="AR202" s="3"/>
      <c r="AS202" s="3"/>
      <c r="AT202" s="3"/>
      <c r="AU202" s="3"/>
      <c r="AV202" s="3"/>
      <c r="AW202" s="3"/>
      <c r="AX202" s="3"/>
      <c r="AY202" s="3"/>
      <c r="AZ202" s="3"/>
      <c r="BA202" s="3"/>
      <c r="BB202" s="3"/>
      <c r="BC202" s="3"/>
      <c r="BD202" s="3"/>
      <c r="BE202" s="3"/>
      <c r="BF202" s="3"/>
      <c r="BG202" s="3"/>
      <c r="BH202" s="3"/>
      <c r="BI202" s="3"/>
      <c r="BJ202" s="3"/>
    </row>
    <row r="203" spans="3:62" hidden="1" x14ac:dyDescent="0.25"/>
  </sheetData>
  <mergeCells count="2">
    <mergeCell ref="C1:M1"/>
    <mergeCell ref="N1:T1"/>
  </mergeCells>
  <conditionalFormatting sqref="C2:BJ2">
    <cfRule type="expression" dxfId="0" priority="2">
      <formula>AND(C$2&lt;&gt;"",WEEKDAY(C$2,2)&gt;5)</formula>
    </cfRule>
  </conditionalFormatting>
  <dataValidations xWindow="525" yWindow="441" count="3">
    <dataValidation type="date" allowBlank="1" showInputMessage="1" showErrorMessage="1" errorTitle="Erorr in the Date Entry" error="Only a valid date between 1-Jan-2015 to 31-Dec-9999 is permitted" promptTitle="Date Entry" prompt="Enter a valid date between 1-Jan-2015 to 31-Dec-9999." sqref="C2:BJ2" xr:uid="{00000000-0002-0000-0100-000000000000}">
      <formula1>42005</formula1>
      <formula2>2958465</formula2>
    </dataValidation>
    <dataValidation type="decimal" operator="greaterThanOrEqual" allowBlank="1" showInputMessage="1" showErrorMessage="1" errorTitle="Entry Error" error="Planned Effort Should be &gt;=0" sqref="B3:B202" xr:uid="{00000000-0002-0000-0100-000001000000}">
      <formula1>0</formula1>
    </dataValidation>
    <dataValidation type="custom" showInputMessage="1" showErrorMessage="1" errorTitle="Input Error" error="Read the Validations Rules to Input Right Data" sqref="C3:BJ202" xr:uid="{00000000-0002-0000-0100-000002000000}">
      <formula1>AND(C3&lt;=B3,C3&gt;=0)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ClearPreviousData">
                <anchor moveWithCells="1" sizeWithCells="1">
                  <from>
                    <xdr:col>0</xdr:col>
                    <xdr:colOff>76200</xdr:colOff>
                    <xdr:row>0</xdr:row>
                    <xdr:rowOff>123825</xdr:rowOff>
                  </from>
                  <to>
                    <xdr:col>1</xdr:col>
                    <xdr:colOff>838200</xdr:colOff>
                    <xdr:row>0</xdr:row>
                    <xdr:rowOff>495300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J14"/>
  <sheetViews>
    <sheetView workbookViewId="0">
      <selection activeCell="A2" sqref="A2"/>
    </sheetView>
  </sheetViews>
  <sheetFormatPr defaultColWidth="0" defaultRowHeight="15" x14ac:dyDescent="0.25"/>
  <cols>
    <col min="1" max="1" width="16" style="1" bestFit="1" customWidth="1"/>
    <col min="2" max="2" width="9.42578125" style="2" customWidth="1"/>
    <col min="3" max="62" width="9.140625" customWidth="1"/>
    <col min="63" max="16384" width="9.140625" hidden="1"/>
  </cols>
  <sheetData>
    <row r="1" spans="1:62" s="1" customFormat="1" x14ac:dyDescent="0.25">
      <c r="A1" s="1" t="s">
        <v>1</v>
      </c>
      <c r="B1" s="1" t="s">
        <v>3</v>
      </c>
      <c r="C1" s="8">
        <f>IF(Input!C$2="","",Input!C$2)</f>
        <v>43405</v>
      </c>
      <c r="D1" s="8">
        <f>IF(Input!D$2="","",Input!D$2)</f>
        <v>43406</v>
      </c>
      <c r="E1" s="8">
        <f>IF(Input!E$2="","",Input!E$2)</f>
        <v>43407</v>
      </c>
      <c r="F1" s="8">
        <f>IF(Input!F$2="","",Input!F$2)</f>
        <v>43408</v>
      </c>
      <c r="G1" s="8">
        <f>IF(Input!G$2="","",Input!G$2)</f>
        <v>43409</v>
      </c>
      <c r="H1" s="8">
        <f>IF(Input!H$2="","",Input!H$2)</f>
        <v>43410</v>
      </c>
      <c r="I1" s="8">
        <f>IF(Input!I$2="","",Input!I$2)</f>
        <v>43411</v>
      </c>
      <c r="J1" s="8">
        <f>IF(Input!J$2="","",Input!J$2)</f>
        <v>43412</v>
      </c>
      <c r="K1" s="8">
        <f>IF(Input!K$2="","",Input!K$2)</f>
        <v>43413</v>
      </c>
      <c r="L1" s="8">
        <f>IF(Input!L$2="","",Input!L$2)</f>
        <v>43414</v>
      </c>
      <c r="M1" s="8">
        <f>IF(Input!M$2="","",Input!M$2)</f>
        <v>43415</v>
      </c>
      <c r="N1" s="8">
        <f>IF(Input!N$2="","",Input!N$2)</f>
        <v>43416</v>
      </c>
      <c r="O1" s="8">
        <f>IF(Input!O$2="","",Input!O$2)</f>
        <v>43417</v>
      </c>
      <c r="P1" s="8">
        <f>IF(Input!P$2="","",Input!P$2)</f>
        <v>43418</v>
      </c>
      <c r="Q1" s="8" t="str">
        <f>IF(Input!Q$2="","",Input!Q$2)</f>
        <v/>
      </c>
      <c r="R1" s="8" t="str">
        <f>IF(Input!R$2="","",Input!R$2)</f>
        <v/>
      </c>
      <c r="S1" s="8" t="str">
        <f>IF(Input!S$2="","",Input!S$2)</f>
        <v/>
      </c>
      <c r="T1" s="8" t="str">
        <f>IF(Input!T$2="","",Input!T$2)</f>
        <v/>
      </c>
      <c r="U1" s="8" t="str">
        <f>IF(Input!U$2="","",Input!U$2)</f>
        <v/>
      </c>
      <c r="V1" s="8" t="str">
        <f>IF(Input!V$2="","",Input!V$2)</f>
        <v/>
      </c>
      <c r="W1" s="8" t="str">
        <f>IF(Input!W$2="","",Input!W$2)</f>
        <v/>
      </c>
      <c r="X1" s="8" t="str">
        <f>IF(Input!X$2="","",Input!X$2)</f>
        <v/>
      </c>
      <c r="Y1" s="8" t="str">
        <f>IF(Input!Y$2="","",Input!Y$2)</f>
        <v/>
      </c>
      <c r="Z1" s="8" t="str">
        <f>IF(Input!Z$2="","",Input!Z$2)</f>
        <v/>
      </c>
      <c r="AA1" s="8" t="str">
        <f>IF(Input!AA$2="","",Input!AA$2)</f>
        <v/>
      </c>
      <c r="AB1" s="8" t="str">
        <f>IF(Input!AB$2="","",Input!AB$2)</f>
        <v/>
      </c>
      <c r="AC1" s="8" t="str">
        <f>IF(Input!AC$2="","",Input!AC$2)</f>
        <v/>
      </c>
      <c r="AD1" s="8" t="str">
        <f>IF(Input!AD$2="","",Input!AD$2)</f>
        <v/>
      </c>
      <c r="AE1" s="8" t="str">
        <f>IF(Input!AE$2="","",Input!AE$2)</f>
        <v/>
      </c>
      <c r="AF1" s="8" t="str">
        <f>IF(Input!AF$2="","",Input!AF$2)</f>
        <v/>
      </c>
      <c r="AG1" s="8" t="str">
        <f>IF(Input!AG$2="","",Input!AG$2)</f>
        <v/>
      </c>
      <c r="AH1" s="8" t="str">
        <f>IF(Input!AH$2="","",Input!AH$2)</f>
        <v/>
      </c>
      <c r="AI1" s="8" t="str">
        <f>IF(Input!AI$2="","",Input!AI$2)</f>
        <v/>
      </c>
      <c r="AJ1" s="8" t="str">
        <f>IF(Input!AJ$2="","",Input!AJ$2)</f>
        <v/>
      </c>
      <c r="AK1" s="8" t="str">
        <f>IF(Input!AK$2="","",Input!AK$2)</f>
        <v/>
      </c>
      <c r="AL1" s="8" t="str">
        <f>IF(Input!AL$2="","",Input!AL$2)</f>
        <v/>
      </c>
      <c r="AM1" s="8" t="str">
        <f>IF(Input!AM$2="","",Input!AM$2)</f>
        <v/>
      </c>
      <c r="AN1" s="8" t="str">
        <f>IF(Input!AN$2="","",Input!AN$2)</f>
        <v/>
      </c>
      <c r="AO1" s="8" t="str">
        <f>IF(Input!AO$2="","",Input!AO$2)</f>
        <v/>
      </c>
      <c r="AP1" s="8" t="str">
        <f>IF(Input!AP$2="","",Input!AP$2)</f>
        <v/>
      </c>
      <c r="AQ1" s="8" t="str">
        <f>IF(Input!AQ$2="","",Input!AQ$2)</f>
        <v/>
      </c>
      <c r="AR1" s="8" t="str">
        <f>IF(Input!AR$2="","",Input!AR$2)</f>
        <v/>
      </c>
      <c r="AS1" s="8" t="str">
        <f>IF(Input!AS$2="","",Input!AS$2)</f>
        <v/>
      </c>
      <c r="AT1" s="8" t="str">
        <f>IF(Input!AT$2="","",Input!AT$2)</f>
        <v/>
      </c>
      <c r="AU1" s="8" t="str">
        <f>IF(Input!AU$2="","",Input!AU$2)</f>
        <v/>
      </c>
      <c r="AV1" s="8" t="str">
        <f>IF(Input!AV$2="","",Input!AV$2)</f>
        <v/>
      </c>
      <c r="AW1" s="8" t="str">
        <f>IF(Input!AW$2="","",Input!AW$2)</f>
        <v/>
      </c>
      <c r="AX1" s="8" t="str">
        <f>IF(Input!AX$2="","",Input!AX$2)</f>
        <v/>
      </c>
      <c r="AY1" s="8" t="str">
        <f>IF(Input!AY$2="","",Input!AY$2)</f>
        <v/>
      </c>
      <c r="AZ1" s="8" t="str">
        <f>IF(Input!AZ$2="","",Input!AZ$2)</f>
        <v/>
      </c>
      <c r="BA1" s="8" t="str">
        <f>IF(Input!BA$2="","",Input!BA$2)</f>
        <v/>
      </c>
      <c r="BB1" s="8" t="str">
        <f>IF(Input!BB$2="","",Input!BB$2)</f>
        <v/>
      </c>
      <c r="BC1" s="8" t="str">
        <f>IF(Input!BC$2="","",Input!BC$2)</f>
        <v/>
      </c>
      <c r="BD1" s="8" t="str">
        <f>IF(Input!BD$2="","",Input!BD$2)</f>
        <v/>
      </c>
      <c r="BE1" s="8" t="str">
        <f>IF(Input!BE$2="","",Input!BE$2)</f>
        <v/>
      </c>
      <c r="BF1" s="8" t="str">
        <f>IF(Input!BF$2="","",Input!BF$2)</f>
        <v/>
      </c>
      <c r="BG1" s="8" t="str">
        <f>IF(Input!BG$2="","",Input!BG$2)</f>
        <v/>
      </c>
      <c r="BH1" s="8" t="str">
        <f>IF(Input!BH$2="","",Input!BH$2)</f>
        <v/>
      </c>
      <c r="BI1" s="8" t="str">
        <f>IF(Input!BI$2="","",Input!BI$2)</f>
        <v/>
      </c>
      <c r="BJ1" s="8" t="str">
        <f>IF(Input!BJ$2="","",Input!BJ$2)</f>
        <v/>
      </c>
    </row>
    <row r="2" spans="1:62" s="4" customFormat="1" x14ac:dyDescent="0.25">
      <c r="A2" s="6" t="str">
        <f>IF('Burndown Chart'!$L$2="","Planned Effort",'Burndown Chart'!$L$2)</f>
        <v>Planned Effort</v>
      </c>
      <c r="B2" s="7">
        <f>SUM(Input!$B$3:$B$202)</f>
        <v>600</v>
      </c>
      <c r="C2" s="4">
        <f t="shared" ref="C2:AH2" si="0">IF(C$1="","",B$2-$B$2/(SUMPRODUCT(--($C$1:$BJ$1&lt;&gt;""))))</f>
        <v>557.14285714285711</v>
      </c>
      <c r="D2" s="4">
        <f t="shared" si="0"/>
        <v>514.28571428571422</v>
      </c>
      <c r="E2" s="4">
        <f t="shared" si="0"/>
        <v>471.42857142857139</v>
      </c>
      <c r="F2" s="4">
        <f t="shared" si="0"/>
        <v>428.57142857142856</v>
      </c>
      <c r="G2" s="4">
        <f t="shared" si="0"/>
        <v>385.71428571428572</v>
      </c>
      <c r="H2" s="4">
        <f t="shared" si="0"/>
        <v>342.85714285714289</v>
      </c>
      <c r="I2" s="4">
        <f t="shared" si="0"/>
        <v>300.00000000000006</v>
      </c>
      <c r="J2" s="4">
        <f t="shared" si="0"/>
        <v>257.14285714285722</v>
      </c>
      <c r="K2" s="4">
        <f t="shared" si="0"/>
        <v>214.28571428571436</v>
      </c>
      <c r="L2" s="4">
        <f t="shared" si="0"/>
        <v>171.4285714285715</v>
      </c>
      <c r="M2" s="4">
        <f t="shared" si="0"/>
        <v>128.57142857142864</v>
      </c>
      <c r="N2" s="4">
        <f t="shared" si="0"/>
        <v>85.714285714285779</v>
      </c>
      <c r="O2" s="4">
        <f t="shared" si="0"/>
        <v>42.857142857142925</v>
      </c>
      <c r="P2" s="4">
        <f t="shared" si="0"/>
        <v>7.1054273576010019E-14</v>
      </c>
      <c r="Q2" s="4" t="str">
        <f t="shared" si="0"/>
        <v/>
      </c>
      <c r="R2" s="4" t="str">
        <f t="shared" si="0"/>
        <v/>
      </c>
      <c r="S2" s="4" t="str">
        <f t="shared" si="0"/>
        <v/>
      </c>
      <c r="T2" s="4" t="str">
        <f t="shared" si="0"/>
        <v/>
      </c>
      <c r="U2" s="4" t="str">
        <f t="shared" si="0"/>
        <v/>
      </c>
      <c r="V2" s="4" t="str">
        <f t="shared" si="0"/>
        <v/>
      </c>
      <c r="W2" s="4" t="str">
        <f t="shared" si="0"/>
        <v/>
      </c>
      <c r="X2" s="4" t="str">
        <f t="shared" si="0"/>
        <v/>
      </c>
      <c r="Y2" s="4" t="str">
        <f t="shared" si="0"/>
        <v/>
      </c>
      <c r="Z2" s="4" t="str">
        <f t="shared" si="0"/>
        <v/>
      </c>
      <c r="AA2" s="4" t="str">
        <f t="shared" si="0"/>
        <v/>
      </c>
      <c r="AB2" s="4" t="str">
        <f t="shared" si="0"/>
        <v/>
      </c>
      <c r="AC2" s="4" t="str">
        <f t="shared" si="0"/>
        <v/>
      </c>
      <c r="AD2" s="4" t="str">
        <f t="shared" si="0"/>
        <v/>
      </c>
      <c r="AE2" s="4" t="str">
        <f t="shared" si="0"/>
        <v/>
      </c>
      <c r="AF2" s="4" t="str">
        <f t="shared" si="0"/>
        <v/>
      </c>
      <c r="AG2" s="4" t="str">
        <f t="shared" si="0"/>
        <v/>
      </c>
      <c r="AH2" s="4" t="str">
        <f t="shared" si="0"/>
        <v/>
      </c>
      <c r="AI2" s="4" t="str">
        <f t="shared" ref="AI2:BJ2" si="1">IF(AI$1="","",AH$2-$B$2/(SUMPRODUCT(--($C$1:$BJ$1&lt;&gt;""))))</f>
        <v/>
      </c>
      <c r="AJ2" s="4" t="str">
        <f t="shared" si="1"/>
        <v/>
      </c>
      <c r="AK2" s="4" t="str">
        <f t="shared" si="1"/>
        <v/>
      </c>
      <c r="AL2" s="4" t="str">
        <f t="shared" si="1"/>
        <v/>
      </c>
      <c r="AM2" s="4" t="str">
        <f t="shared" si="1"/>
        <v/>
      </c>
      <c r="AN2" s="4" t="str">
        <f t="shared" si="1"/>
        <v/>
      </c>
      <c r="AO2" s="4" t="str">
        <f t="shared" si="1"/>
        <v/>
      </c>
      <c r="AP2" s="4" t="str">
        <f t="shared" si="1"/>
        <v/>
      </c>
      <c r="AQ2" s="4" t="str">
        <f t="shared" si="1"/>
        <v/>
      </c>
      <c r="AR2" s="4" t="str">
        <f t="shared" si="1"/>
        <v/>
      </c>
      <c r="AS2" s="4" t="str">
        <f t="shared" si="1"/>
        <v/>
      </c>
      <c r="AT2" s="4" t="str">
        <f t="shared" si="1"/>
        <v/>
      </c>
      <c r="AU2" s="4" t="str">
        <f t="shared" si="1"/>
        <v/>
      </c>
      <c r="AV2" s="4" t="str">
        <f t="shared" si="1"/>
        <v/>
      </c>
      <c r="AW2" s="4" t="str">
        <f t="shared" si="1"/>
        <v/>
      </c>
      <c r="AX2" s="4" t="str">
        <f t="shared" si="1"/>
        <v/>
      </c>
      <c r="AY2" s="4" t="str">
        <f t="shared" si="1"/>
        <v/>
      </c>
      <c r="AZ2" s="4" t="str">
        <f t="shared" si="1"/>
        <v/>
      </c>
      <c r="BA2" s="4" t="str">
        <f t="shared" si="1"/>
        <v/>
      </c>
      <c r="BB2" s="4" t="str">
        <f t="shared" si="1"/>
        <v/>
      </c>
      <c r="BC2" s="4" t="str">
        <f t="shared" si="1"/>
        <v/>
      </c>
      <c r="BD2" s="4" t="str">
        <f t="shared" si="1"/>
        <v/>
      </c>
      <c r="BE2" s="4" t="str">
        <f t="shared" si="1"/>
        <v/>
      </c>
      <c r="BF2" s="4" t="str">
        <f t="shared" si="1"/>
        <v/>
      </c>
      <c r="BG2" s="4" t="str">
        <f t="shared" si="1"/>
        <v/>
      </c>
      <c r="BH2" s="4" t="str">
        <f t="shared" si="1"/>
        <v/>
      </c>
      <c r="BI2" s="4" t="str">
        <f t="shared" si="1"/>
        <v/>
      </c>
      <c r="BJ2" s="4" t="str">
        <f t="shared" si="1"/>
        <v/>
      </c>
    </row>
    <row r="3" spans="1:62" s="4" customFormat="1" x14ac:dyDescent="0.25">
      <c r="A3" s="6" t="str">
        <f>IF('Burndown Chart'!$L$3="","Hours Remaining",'Burndown Chart'!$L$3)</f>
        <v>Hours Remaining</v>
      </c>
      <c r="B3" s="7">
        <f>SUM(Input!$B$3:$B$202)</f>
        <v>600</v>
      </c>
      <c r="C3" s="4">
        <f>IF(C$1="","",SUM(Input!C$3:C$202))</f>
        <v>480</v>
      </c>
      <c r="D3" s="4">
        <f>IF(D$1="","",SUM(Input!D$3:D$202))</f>
        <v>420</v>
      </c>
      <c r="E3" s="4">
        <f>IF(E$1="","",SUM(Input!E$3:E$202))</f>
        <v>360</v>
      </c>
      <c r="F3" s="4">
        <f>IF(F$1="","",SUM(Input!F$3:F$202))</f>
        <v>300</v>
      </c>
      <c r="G3" s="4">
        <f>IF(G$1="","",SUM(Input!G$3:G$202))</f>
        <v>240</v>
      </c>
      <c r="H3" s="4">
        <f>IF(H$1="","",SUM(Input!H$3:H$202))</f>
        <v>180</v>
      </c>
      <c r="I3" s="4">
        <f>IF(I$1="","",SUM(Input!I$3:I$202))</f>
        <v>120</v>
      </c>
      <c r="J3" s="4">
        <f>IF(J$1="","",SUM(Input!J$3:J$202))</f>
        <v>60</v>
      </c>
      <c r="K3" s="4">
        <f>IF(K$1="","",SUM(Input!K$3:K$202))</f>
        <v>0</v>
      </c>
      <c r="L3" s="4">
        <f>IF(L$1="","",SUM(Input!L$3:L$202))</f>
        <v>0</v>
      </c>
      <c r="M3" s="4">
        <f>IF(M$1="","",SUM(Input!M$3:M$202))</f>
        <v>0</v>
      </c>
      <c r="N3" s="4">
        <f>IF(N$1="","",SUM(Input!N$3:N$202))</f>
        <v>0</v>
      </c>
      <c r="O3" s="4">
        <f>IF(O$1="","",SUM(Input!O$3:O$202))</f>
        <v>0</v>
      </c>
      <c r="P3" s="4">
        <f>IF(P$1="","",SUM(Input!P$3:P$202))</f>
        <v>0</v>
      </c>
      <c r="Q3" s="4" t="str">
        <f>IF(Q$1="","",SUM(Input!Q$3:Q$202))</f>
        <v/>
      </c>
      <c r="R3" s="4" t="str">
        <f>IF(R$1="","",SUM(Input!R$3:R$202))</f>
        <v/>
      </c>
      <c r="S3" s="4" t="str">
        <f>IF(S$1="","",SUM(Input!S$3:S$202))</f>
        <v/>
      </c>
      <c r="T3" s="4" t="str">
        <f>IF(T$1="","",SUM(Input!T$3:T$202))</f>
        <v/>
      </c>
      <c r="U3" s="4" t="str">
        <f>IF(U$1="","",SUM(Input!U$3:U$202))</f>
        <v/>
      </c>
      <c r="V3" s="4" t="str">
        <f>IF(V$1="","",SUM(Input!V$3:V$202))</f>
        <v/>
      </c>
      <c r="W3" s="4" t="str">
        <f>IF(W$1="","",SUM(Input!W$3:W$202))</f>
        <v/>
      </c>
      <c r="X3" s="4" t="str">
        <f>IF(X$1="","",SUM(Input!X$3:X$202))</f>
        <v/>
      </c>
      <c r="Y3" s="4" t="str">
        <f>IF(Y$1="","",SUM(Input!Y$3:Y$202))</f>
        <v/>
      </c>
      <c r="Z3" s="4" t="str">
        <f>IF(Z$1="","",SUM(Input!Z$3:Z$202))</f>
        <v/>
      </c>
      <c r="AA3" s="4" t="str">
        <f>IF(AA$1="","",SUM(Input!AA$3:AA$202))</f>
        <v/>
      </c>
      <c r="AB3" s="4" t="str">
        <f>IF(AB$1="","",SUM(Input!AB$3:AB$202))</f>
        <v/>
      </c>
      <c r="AC3" s="4" t="str">
        <f>IF(AC$1="","",SUM(Input!AC$3:AC$202))</f>
        <v/>
      </c>
      <c r="AD3" s="4" t="str">
        <f>IF(AD$1="","",SUM(Input!AD$3:AD$202))</f>
        <v/>
      </c>
      <c r="AE3" s="4" t="str">
        <f>IF(AE$1="","",SUM(Input!AE$3:AE$202))</f>
        <v/>
      </c>
      <c r="AF3" s="4" t="str">
        <f>IF(AF$1="","",SUM(Input!AF$3:AF$202))</f>
        <v/>
      </c>
      <c r="AG3" s="4" t="str">
        <f>IF(AG$1="","",SUM(Input!AG$3:AG$202))</f>
        <v/>
      </c>
      <c r="AH3" s="4" t="str">
        <f>IF(AH$1="","",SUM(Input!AH$3:AH$202))</f>
        <v/>
      </c>
      <c r="AI3" s="4" t="str">
        <f>IF(AI$1="","",SUM(Input!AI$3:AI$202))</f>
        <v/>
      </c>
      <c r="AJ3" s="4" t="str">
        <f>IF(AJ$1="","",SUM(Input!AJ$3:AJ$202))</f>
        <v/>
      </c>
      <c r="AK3" s="4" t="str">
        <f>IF(AK$1="","",SUM(Input!AK$3:AK$202))</f>
        <v/>
      </c>
      <c r="AL3" s="4" t="str">
        <f>IF(AL$1="","",SUM(Input!AL$3:AL$202))</f>
        <v/>
      </c>
      <c r="AM3" s="4" t="str">
        <f>IF(AM$1="","",SUM(Input!AM$3:AM$202))</f>
        <v/>
      </c>
      <c r="AN3" s="4" t="str">
        <f>IF(AN$1="","",SUM(Input!AN$3:AN$202))</f>
        <v/>
      </c>
      <c r="AO3" s="4" t="str">
        <f>IF(AO$1="","",SUM(Input!AO$3:AO$202))</f>
        <v/>
      </c>
      <c r="AP3" s="4" t="str">
        <f>IF(AP$1="","",SUM(Input!AP$3:AP$202))</f>
        <v/>
      </c>
      <c r="AQ3" s="4" t="str">
        <f>IF(AQ$1="","",SUM(Input!AQ$3:AQ$202))</f>
        <v/>
      </c>
      <c r="AR3" s="4" t="str">
        <f>IF(AR$1="","",SUM(Input!AR$3:AR$202))</f>
        <v/>
      </c>
      <c r="AS3" s="4" t="str">
        <f>IF(AS$1="","",SUM(Input!AS$3:AS$202))</f>
        <v/>
      </c>
      <c r="AT3" s="4" t="str">
        <f>IF(AT$1="","",SUM(Input!AT$3:AT$202))</f>
        <v/>
      </c>
      <c r="AU3" s="4" t="str">
        <f>IF(AU$1="","",SUM(Input!AU$3:AU$202))</f>
        <v/>
      </c>
      <c r="AV3" s="4" t="str">
        <f>IF(AV$1="","",SUM(Input!AV$3:AV$202))</f>
        <v/>
      </c>
      <c r="AW3" s="4" t="str">
        <f>IF(AW$1="","",SUM(Input!AW$3:AW$202))</f>
        <v/>
      </c>
      <c r="AX3" s="4" t="str">
        <f>IF(AX$1="","",SUM(Input!AX$3:AX$202))</f>
        <v/>
      </c>
      <c r="AY3" s="4" t="str">
        <f>IF(AY$1="","",SUM(Input!AY$3:AY$202))</f>
        <v/>
      </c>
      <c r="AZ3" s="4" t="str">
        <f>IF(AZ$1="","",SUM(Input!AZ$3:AZ$202))</f>
        <v/>
      </c>
      <c r="BA3" s="4" t="str">
        <f>IF(BA$1="","",SUM(Input!BA$3:BA$202))</f>
        <v/>
      </c>
      <c r="BB3" s="4" t="str">
        <f>IF(BB$1="","",SUM(Input!BB$3:BB$202))</f>
        <v/>
      </c>
      <c r="BC3" s="4" t="str">
        <f>IF(BC$1="","",SUM(Input!BC$3:BC$202))</f>
        <v/>
      </c>
      <c r="BD3" s="4" t="str">
        <f>IF(BD$1="","",SUM(Input!BD$3:BD$202))</f>
        <v/>
      </c>
      <c r="BE3" s="4" t="str">
        <f>IF(BE$1="","",SUM(Input!BE$3:BE$202))</f>
        <v/>
      </c>
      <c r="BF3" s="4" t="str">
        <f>IF(BF$1="","",SUM(Input!BF$3:BF$202))</f>
        <v/>
      </c>
      <c r="BG3" s="4" t="str">
        <f>IF(BG$1="","",SUM(Input!BG$3:BG$202))</f>
        <v/>
      </c>
      <c r="BH3" s="4" t="str">
        <f>IF(BH$1="","",SUM(Input!BH$3:BH$202))</f>
        <v/>
      </c>
      <c r="BI3" s="4" t="str">
        <f>IF(BI$1="","",SUM(Input!BI$3:BI$202))</f>
        <v/>
      </c>
      <c r="BJ3" s="4" t="str">
        <f>IF(BJ$1="","",SUM(Input!BJ$3:BJ$202))</f>
        <v/>
      </c>
    </row>
    <row r="4" spans="1:62" x14ac:dyDescent="0.25">
      <c r="A4" s="1" t="s">
        <v>5</v>
      </c>
      <c r="B4" s="2">
        <v>0</v>
      </c>
      <c r="C4" t="e">
        <f ca="1">IF(C$1="","",CountCTs(Input!C$3:C$202))</f>
        <v>#NAME?</v>
      </c>
      <c r="D4" t="e">
        <f ca="1">IF(D$1="","",CountCTs(Input!D$3:D$202))</f>
        <v>#NAME?</v>
      </c>
      <c r="E4" t="e">
        <f ca="1">IF(E$1="","",CountCTs(Input!E$3:E$202))</f>
        <v>#NAME?</v>
      </c>
      <c r="F4" t="e">
        <f ca="1">IF(F$1="","",CountCTs(Input!F$3:F$202))</f>
        <v>#NAME?</v>
      </c>
      <c r="G4" t="e">
        <f ca="1">IF(G$1="","",CountCTs(Input!G$3:G$202))</f>
        <v>#NAME?</v>
      </c>
      <c r="H4" t="e">
        <f ca="1">IF(H$1="","",CountCTs(Input!H$3:H$202))</f>
        <v>#NAME?</v>
      </c>
      <c r="I4" t="e">
        <f ca="1">IF(I$1="","",CountCTs(Input!I$3:I$202))</f>
        <v>#NAME?</v>
      </c>
      <c r="J4" t="e">
        <f ca="1">IF(J$1="","",CountCTs(Input!J$3:J$202))</f>
        <v>#NAME?</v>
      </c>
      <c r="K4" t="e">
        <f ca="1">IF(K$1="","",CountCTs(Input!K$3:K$202))</f>
        <v>#NAME?</v>
      </c>
      <c r="L4" t="e">
        <f ca="1">IF(L$1="","",CountCTs(Input!L$3:L$202))</f>
        <v>#NAME?</v>
      </c>
      <c r="M4" t="e">
        <f ca="1">IF(M$1="","",CountCTs(Input!M$3:M$202))</f>
        <v>#NAME?</v>
      </c>
      <c r="N4" t="e">
        <f ca="1">IF(N$1="","",CountCTs(Input!N$3:N$202))</f>
        <v>#NAME?</v>
      </c>
      <c r="O4" t="e">
        <f ca="1">IF(O$1="","",CountCTs(Input!O$3:O$202))</f>
        <v>#NAME?</v>
      </c>
      <c r="P4" t="e">
        <f ca="1">IF(P$1="","",CountCTs(Input!P$3:P$202))</f>
        <v>#NAME?</v>
      </c>
      <c r="Q4" t="str">
        <f>IF(Q$1="","",CountCTs(Input!Q$3:Q$202))</f>
        <v/>
      </c>
      <c r="R4" t="str">
        <f>IF(R$1="","",CountCTs(Input!R$3:R$202))</f>
        <v/>
      </c>
      <c r="S4" t="str">
        <f>IF(S$1="","",CountCTs(Input!S$3:S$202))</f>
        <v/>
      </c>
      <c r="T4" t="str">
        <f>IF(T$1="","",CountCTs(Input!T$3:T$202))</f>
        <v/>
      </c>
      <c r="U4" t="str">
        <f>IF(U$1="","",CountCTs(Input!U$3:U$202))</f>
        <v/>
      </c>
      <c r="V4" t="str">
        <f>IF(V$1="","",CountCTs(Input!V$3:V$202))</f>
        <v/>
      </c>
      <c r="W4" t="str">
        <f>IF(W$1="","",CountCTs(Input!W$3:W$202))</f>
        <v/>
      </c>
      <c r="X4" t="str">
        <f>IF(X$1="","",CountCTs(Input!X$3:X$202))</f>
        <v/>
      </c>
      <c r="Y4" t="str">
        <f>IF(Y$1="","",CountCTs(Input!Y$3:Y$202))</f>
        <v/>
      </c>
      <c r="Z4" t="str">
        <f>IF(Z$1="","",CountCTs(Input!Z$3:Z$202))</f>
        <v/>
      </c>
      <c r="AA4" t="str">
        <f>IF(AA$1="","",CountCTs(Input!AA$3:AA$202))</f>
        <v/>
      </c>
      <c r="AB4" t="str">
        <f>IF(AB$1="","",CountCTs(Input!AB$3:AB$202))</f>
        <v/>
      </c>
      <c r="AC4" t="str">
        <f>IF(AC$1="","",CountCTs(Input!AC$3:AC$202))</f>
        <v/>
      </c>
      <c r="AD4" t="str">
        <f>IF(AD$1="","",CountCTs(Input!AD$3:AD$202))</f>
        <v/>
      </c>
      <c r="AE4" t="str">
        <f>IF(AE$1="","",CountCTs(Input!AE$3:AE$202))</f>
        <v/>
      </c>
      <c r="AF4" t="str">
        <f>IF(AF$1="","",CountCTs(Input!AF$3:AF$202))</f>
        <v/>
      </c>
      <c r="AG4" t="str">
        <f>IF(AG$1="","",CountCTs(Input!AG$3:AG$202))</f>
        <v/>
      </c>
      <c r="AH4" t="str">
        <f>IF(AH$1="","",CountCTs(Input!AH$3:AH$202))</f>
        <v/>
      </c>
      <c r="AI4" t="str">
        <f>IF(AI$1="","",CountCTs(Input!AI$3:AI$202))</f>
        <v/>
      </c>
      <c r="AJ4" t="str">
        <f>IF(AJ$1="","",CountCTs(Input!AJ$3:AJ$202))</f>
        <v/>
      </c>
      <c r="AK4" t="str">
        <f>IF(AK$1="","",CountCTs(Input!AK$3:AK$202))</f>
        <v/>
      </c>
      <c r="AL4" t="str">
        <f>IF(AL$1="","",CountCTs(Input!AL$3:AL$202))</f>
        <v/>
      </c>
      <c r="AM4" t="str">
        <f>IF(AM$1="","",CountCTs(Input!AM$3:AM$202))</f>
        <v/>
      </c>
      <c r="AN4" t="str">
        <f>IF(AN$1="","",CountCTs(Input!AN$3:AN$202))</f>
        <v/>
      </c>
      <c r="AO4" t="str">
        <f>IF(AO$1="","",CountCTs(Input!AO$3:AO$202))</f>
        <v/>
      </c>
      <c r="AP4" t="str">
        <f>IF(AP$1="","",CountCTs(Input!AP$3:AP$202))</f>
        <v/>
      </c>
      <c r="AQ4" t="str">
        <f>IF(AQ$1="","",CountCTs(Input!AQ$3:AQ$202))</f>
        <v/>
      </c>
      <c r="AR4" t="str">
        <f>IF(AR$1="","",CountCTs(Input!AR$3:AR$202))</f>
        <v/>
      </c>
      <c r="AS4" t="str">
        <f>IF(AS$1="","",CountCTs(Input!AS$3:AS$202))</f>
        <v/>
      </c>
      <c r="AT4" t="str">
        <f>IF(AT$1="","",CountCTs(Input!AT$3:AT$202))</f>
        <v/>
      </c>
      <c r="AU4" t="str">
        <f>IF(AU$1="","",CountCTs(Input!AU$3:AU$202))</f>
        <v/>
      </c>
      <c r="AV4" t="str">
        <f>IF(AV$1="","",CountCTs(Input!AV$3:AV$202))</f>
        <v/>
      </c>
      <c r="AW4" t="str">
        <f>IF(AW$1="","",CountCTs(Input!AW$3:AW$202))</f>
        <v/>
      </c>
      <c r="AX4" t="str">
        <f>IF(AX$1="","",CountCTs(Input!AX$3:AX$202))</f>
        <v/>
      </c>
      <c r="AY4" t="str">
        <f>IF(AY$1="","",CountCTs(Input!AY$3:AY$202))</f>
        <v/>
      </c>
      <c r="AZ4" t="str">
        <f>IF(AZ$1="","",CountCTs(Input!AZ$3:AZ$202))</f>
        <v/>
      </c>
      <c r="BA4" t="str">
        <f>IF(BA$1="","",CountCTs(Input!BA$3:BA$202))</f>
        <v/>
      </c>
      <c r="BB4" t="str">
        <f>IF(BB$1="","",CountCTs(Input!BB$3:BB$202))</f>
        <v/>
      </c>
      <c r="BC4" t="str">
        <f>IF(BC$1="","",CountCTs(Input!BC$3:BC$202))</f>
        <v/>
      </c>
      <c r="BD4" t="str">
        <f>IF(BD$1="","",CountCTs(Input!BD$3:BD$202))</f>
        <v/>
      </c>
      <c r="BE4" t="str">
        <f>IF(BE$1="","",CountCTs(Input!BE$3:BE$202))</f>
        <v/>
      </c>
      <c r="BF4" t="str">
        <f>IF(BF$1="","",CountCTs(Input!BF$3:BF$202))</f>
        <v/>
      </c>
      <c r="BG4" t="str">
        <f>IF(BG$1="","",CountCTs(Input!BG$3:BG$202))</f>
        <v/>
      </c>
      <c r="BH4" t="str">
        <f>IF(BH$1="","",CountCTs(Input!BH$3:BH$202))</f>
        <v/>
      </c>
      <c r="BI4" t="str">
        <f>IF(BI$1="","",CountCTs(Input!BI$3:BI$202))</f>
        <v/>
      </c>
      <c r="BJ4" t="str">
        <f>IF(BJ$1="","",CountCTs(Input!BJ$3:BJ$202))</f>
        <v/>
      </c>
    </row>
    <row r="5" spans="1:62" x14ac:dyDescent="0.25">
      <c r="A5" s="1" t="s">
        <v>6</v>
      </c>
      <c r="B5" s="2">
        <f>SUMPRODUCT(--(Input!$A$3:$A$202&lt;&gt;""))</f>
        <v>12</v>
      </c>
      <c r="C5" t="e">
        <f ca="1">IF(C$1="","",B$5-C4)</f>
        <v>#NAME?</v>
      </c>
      <c r="D5" t="e">
        <f t="shared" ref="D5:BJ5" ca="1" si="2">IF(D$1="","",C$5-D4)</f>
        <v>#NAME?</v>
      </c>
      <c r="E5" t="e">
        <f t="shared" ca="1" si="2"/>
        <v>#NAME?</v>
      </c>
      <c r="F5" t="e">
        <f t="shared" ca="1" si="2"/>
        <v>#NAME?</v>
      </c>
      <c r="G5" t="e">
        <f t="shared" ca="1" si="2"/>
        <v>#NAME?</v>
      </c>
      <c r="H5" t="e">
        <f t="shared" ca="1" si="2"/>
        <v>#NAME?</v>
      </c>
      <c r="I5" t="e">
        <f t="shared" ca="1" si="2"/>
        <v>#NAME?</v>
      </c>
      <c r="J5" t="e">
        <f t="shared" ca="1" si="2"/>
        <v>#NAME?</v>
      </c>
      <c r="K5" t="e">
        <f t="shared" ca="1" si="2"/>
        <v>#NAME?</v>
      </c>
      <c r="L5" t="e">
        <f t="shared" ca="1" si="2"/>
        <v>#NAME?</v>
      </c>
      <c r="M5" t="e">
        <f t="shared" ca="1" si="2"/>
        <v>#NAME?</v>
      </c>
      <c r="N5" t="e">
        <f t="shared" ca="1" si="2"/>
        <v>#NAME?</v>
      </c>
      <c r="O5" t="e">
        <f t="shared" ca="1" si="2"/>
        <v>#NAME?</v>
      </c>
      <c r="P5" t="e">
        <f t="shared" ca="1" si="2"/>
        <v>#NAME?</v>
      </c>
      <c r="Q5" t="str">
        <f t="shared" si="2"/>
        <v/>
      </c>
      <c r="R5" t="str">
        <f t="shared" si="2"/>
        <v/>
      </c>
      <c r="S5" t="str">
        <f t="shared" si="2"/>
        <v/>
      </c>
      <c r="T5" t="str">
        <f t="shared" si="2"/>
        <v/>
      </c>
      <c r="U5" t="str">
        <f t="shared" si="2"/>
        <v/>
      </c>
      <c r="V5" t="str">
        <f t="shared" si="2"/>
        <v/>
      </c>
      <c r="W5" t="str">
        <f t="shared" si="2"/>
        <v/>
      </c>
      <c r="X5" t="str">
        <f t="shared" si="2"/>
        <v/>
      </c>
      <c r="Y5" t="str">
        <f t="shared" si="2"/>
        <v/>
      </c>
      <c r="Z5" t="str">
        <f t="shared" si="2"/>
        <v/>
      </c>
      <c r="AA5" t="str">
        <f t="shared" si="2"/>
        <v/>
      </c>
      <c r="AB5" t="str">
        <f t="shared" si="2"/>
        <v/>
      </c>
      <c r="AC5" t="str">
        <f t="shared" si="2"/>
        <v/>
      </c>
      <c r="AD5" t="str">
        <f t="shared" si="2"/>
        <v/>
      </c>
      <c r="AE5" t="str">
        <f t="shared" si="2"/>
        <v/>
      </c>
      <c r="AF5" t="str">
        <f t="shared" si="2"/>
        <v/>
      </c>
      <c r="AG5" t="str">
        <f t="shared" si="2"/>
        <v/>
      </c>
      <c r="AH5" t="str">
        <f t="shared" si="2"/>
        <v/>
      </c>
      <c r="AI5" t="str">
        <f t="shared" si="2"/>
        <v/>
      </c>
      <c r="AJ5" t="str">
        <f t="shared" si="2"/>
        <v/>
      </c>
      <c r="AK5" t="str">
        <f t="shared" si="2"/>
        <v/>
      </c>
      <c r="AL5" t="str">
        <f t="shared" si="2"/>
        <v/>
      </c>
      <c r="AM5" t="str">
        <f t="shared" si="2"/>
        <v/>
      </c>
      <c r="AN5" t="str">
        <f t="shared" si="2"/>
        <v/>
      </c>
      <c r="AO5" t="str">
        <f t="shared" si="2"/>
        <v/>
      </c>
      <c r="AP5" t="str">
        <f t="shared" si="2"/>
        <v/>
      </c>
      <c r="AQ5" t="str">
        <f t="shared" si="2"/>
        <v/>
      </c>
      <c r="AR5" t="str">
        <f t="shared" si="2"/>
        <v/>
      </c>
      <c r="AS5" t="str">
        <f t="shared" si="2"/>
        <v/>
      </c>
      <c r="AT5" t="str">
        <f t="shared" si="2"/>
        <v/>
      </c>
      <c r="AU5" t="str">
        <f t="shared" si="2"/>
        <v/>
      </c>
      <c r="AV5" t="str">
        <f t="shared" si="2"/>
        <v/>
      </c>
      <c r="AW5" t="str">
        <f t="shared" si="2"/>
        <v/>
      </c>
      <c r="AX5" t="str">
        <f t="shared" si="2"/>
        <v/>
      </c>
      <c r="AY5" t="str">
        <f t="shared" si="2"/>
        <v/>
      </c>
      <c r="AZ5" t="str">
        <f t="shared" si="2"/>
        <v/>
      </c>
      <c r="BA5" t="str">
        <f t="shared" si="2"/>
        <v/>
      </c>
      <c r="BB5" t="str">
        <f t="shared" si="2"/>
        <v/>
      </c>
      <c r="BC5" t="str">
        <f t="shared" si="2"/>
        <v/>
      </c>
      <c r="BD5" t="str">
        <f t="shared" si="2"/>
        <v/>
      </c>
      <c r="BE5" t="str">
        <f t="shared" si="2"/>
        <v/>
      </c>
      <c r="BF5" t="str">
        <f t="shared" si="2"/>
        <v/>
      </c>
      <c r="BG5" t="str">
        <f t="shared" si="2"/>
        <v/>
      </c>
      <c r="BH5" t="str">
        <f t="shared" si="2"/>
        <v/>
      </c>
      <c r="BI5" t="str">
        <f t="shared" si="2"/>
        <v/>
      </c>
      <c r="BJ5" t="str">
        <f t="shared" si="2"/>
        <v/>
      </c>
    </row>
    <row r="7" spans="1:62" x14ac:dyDescent="0.25">
      <c r="A7"/>
    </row>
    <row r="8" spans="1:62" x14ac:dyDescent="0.25">
      <c r="A8"/>
    </row>
    <row r="9" spans="1:62" x14ac:dyDescent="0.25">
      <c r="A9"/>
    </row>
    <row r="10" spans="1:62" x14ac:dyDescent="0.25">
      <c r="A10"/>
    </row>
    <row r="11" spans="1:62" x14ac:dyDescent="0.25">
      <c r="A11"/>
    </row>
    <row r="12" spans="1:62" x14ac:dyDescent="0.25">
      <c r="A12"/>
    </row>
    <row r="13" spans="1:62" x14ac:dyDescent="0.25">
      <c r="A13"/>
    </row>
    <row r="14" spans="1:62" x14ac:dyDescent="0.25">
      <c r="A14"/>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Burndown Chart</vt:lpstr>
      <vt:lpstr>Input</vt:lpstr>
    </vt:vector>
  </TitlesOfParts>
  <Company>IBM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Vijay A. Verma</dc:creator>
  <cp:lastModifiedBy>Kuriyama Mirai</cp:lastModifiedBy>
  <cp:lastPrinted>2016-02-23T08:42:38Z</cp:lastPrinted>
  <dcterms:created xsi:type="dcterms:W3CDTF">2016-02-23T08:35:30Z</dcterms:created>
  <dcterms:modified xsi:type="dcterms:W3CDTF">2018-12-08T02:36:21Z</dcterms:modified>
</cp:coreProperties>
</file>