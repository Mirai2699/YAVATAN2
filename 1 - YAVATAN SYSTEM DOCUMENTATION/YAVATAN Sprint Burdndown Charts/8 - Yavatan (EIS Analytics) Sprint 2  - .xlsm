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0308A545-827B-4BA9-B57C-7DDA5F9911C2}"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J4" i="4"/>
  <c r="L4" i="4"/>
  <c r="I4" i="4"/>
  <c r="P4" i="4"/>
  <c r="O4" i="4"/>
  <c r="G4" i="4"/>
  <c r="M4" i="4"/>
  <c r="N4" i="4"/>
  <c r="E4" i="4"/>
  <c r="D4" i="4"/>
  <c r="C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<sst xmlns="http://schemas.openxmlformats.org/spreadsheetml/2006/main" count="19" uniqueCount="19">
  <si>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</si>
  <si>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</si>
  <si>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</si>
  <si>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</si>
  <si>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</si>
  <si>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</si>
  <si>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</si>
  <si>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</si>
  <si>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</si>
  <si>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</si>
  <si>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</si>
  <si>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want to see the predictive analysis for the collective attendance for the previous year, current year and the prediction for it.</t>
  </si>
  <si>
    <t>As a system administrator, I want to see the highest percentage of religions in Mindanao in the dashboard</t>
  </si>
  <si>
    <t>As a group leader, I want to see the prediction for the event audience attendance in the dashboard.</t>
  </si>
  <si>
    <t>As a group leader, I want to see the prediction based on the budget evaluation in the dashboard.</t>
  </si>
  <si>
    <t>As a group leader, I want to see the predictive analysis for the collective attendance for the previous year, current year and the prediction for it.</t>
  </si>
  <si>
    <t>As a group leader, I want to see the events per group in the dashboard.</t>
  </si>
  <si>
    <t>As a group leader, I want to see the highest percentage of religions in Mindanao in the dashboard</t>
  </si>
  <si>
    <t>As a group leader, I want to see the plotted events across the Philippine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</si>
</sst>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7" formatCode="mm/dd/yy;@"/>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2"/>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0" fontId="0" fillId="0" borderId="0" xfId="0" applyNumberFormat="1" applyAlignment="1">
      <alignment wrapText="1"/>
    </xf>
    <xf numFmtId="0" fontId="0" fillId="0" borderId="0" xfId="0"/>
    <xf numFmtId="0" fontId="0" fillId="0" borderId="0" xfId="0" applyAlignment="1">
      <alignment wrapText="1"/>
    </xf>
    <xf numFmtId="0" fontId="8" fillId="0" borderId="0" xfId="0" applyFont="1" applyAlignment="1">
      <alignment wrapText="1"/>
    </xf>
    <xf numFmtId="0" fontId="8" fillId="0" borderId="1" xfId="0" applyFont="1" applyBorder="1" applyAlignment="1">
      <alignment vertical="center" wrapText="1"/>
    </xf>
    <xf numFmtId="0" fontId="8" fillId="0" borderId="2" xfId="0" applyFont="1" applyBorder="1" applyAlignment="1">
      <alignment vertical="center"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167" fontId="7" fillId="0" borderId="0" xfId="0" applyNumberFormat="1" applyFont="1" applyAlignment="1"/>
    <xf numFmtId="14" fontId="7" fillId="0" borderId="0" xfId="0" applyNumberFormat="1" applyFont="1" applyAlignment="1"/>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a:t>
            </a:r>
            <a:r>
              <a:rPr lang="en-US" b="1" baseline="0"/>
              <a:t> DCMS System</a:t>
            </a:r>
            <a:endParaRPr lang="en-US" b="1"/>
          </a:p>
          <a:p>
            <a:pPr>
              <a:defRPr/>
            </a:pPr>
            <a:r>
              <a:rPr lang="en-US" b="1"/>
              <a:t>(Sprint 2</a:t>
            </a:r>
            <a:r>
              <a:rPr lang="en-US" b="1" baseline="0"/>
              <a:t> - Analytics</a:t>
            </a:r>
            <a:r>
              <a:rPr lang="en-US" b="1"/>
              <a: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400</c:v>
                </c:pt>
                <c:pt idx="1">
                  <c:v>371.42857142857144</c:v>
                </c:pt>
                <c:pt idx="2">
                  <c:v>342.85714285714289</c:v>
                </c:pt>
                <c:pt idx="3">
                  <c:v>314.28571428571433</c:v>
                </c:pt>
                <c:pt idx="4">
                  <c:v>285.71428571428578</c:v>
                </c:pt>
                <c:pt idx="5">
                  <c:v>257.14285714285722</c:v>
                </c:pt>
                <c:pt idx="6">
                  <c:v>228.57142857142864</c:v>
                </c:pt>
                <c:pt idx="7">
                  <c:v>200.00000000000006</c:v>
                </c:pt>
                <c:pt idx="8">
                  <c:v>171.42857142857147</c:v>
                </c:pt>
                <c:pt idx="9">
                  <c:v>142.85714285714289</c:v>
                </c:pt>
                <c:pt idx="10">
                  <c:v>114.28571428571432</c:v>
                </c:pt>
                <c:pt idx="11">
                  <c:v>85.714285714285751</c:v>
                </c:pt>
                <c:pt idx="12">
                  <c:v>57.142857142857181</c:v>
                </c:pt>
                <c:pt idx="13">
                  <c:v>28.571428571428608</c:v>
                </c:pt>
                <c:pt idx="14">
                  <c:v>3.5527136788005009E-14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400</c:v>
                </c:pt>
                <c:pt idx="1">
                  <c:v>350</c:v>
                </c:pt>
                <c:pt idx="2">
                  <c:v>320</c:v>
                </c:pt>
                <c:pt idx="3">
                  <c:v>275</c:v>
                </c:pt>
                <c:pt idx="4">
                  <c:v>235</c:v>
                </c:pt>
                <c:pt idx="5">
                  <c:v>190</c:v>
                </c:pt>
                <c:pt idx="6">
                  <c:v>160</c:v>
                </c:pt>
                <c:pt idx="7">
                  <c:v>120</c:v>
                </c:pt>
                <c:pt idx="8">
                  <c:v>80</c:v>
                </c:pt>
                <c:pt idx="9">
                  <c:v>55</c:v>
                </c:pt>
                <c:pt idx="10">
                  <c:v>40</c:v>
                </c:pt>
                <c:pt idx="11">
                  <c:v>30</c:v>
                </c:pt>
                <c:pt idx="12">
                  <c:v>20</c:v>
                </c:pt>
                <c:pt idx="13">
                  <c:v>10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Analytics)</a:t>
            </a:r>
            <a:endParaRPr lang="en-US" sz="1100" b="1"/>
          </a:p>
        </c:rich>
      </c:tx>
      <c:layout>
        <c:manualLayout>
          <c:xMode val="edge"/>
          <c:yMode val="edge"/>
          <c:x val="0.57643829568032956"/>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8.3341918708759538E-2"/>
          <c:y val="1.9425356976266562E-2"/>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400</c:v>
                </c:pt>
                <c:pt idx="1">
                  <c:v>350</c:v>
                </c:pt>
                <c:pt idx="2">
                  <c:v>320</c:v>
                </c:pt>
                <c:pt idx="3">
                  <c:v>275</c:v>
                </c:pt>
                <c:pt idx="4">
                  <c:v>235</c:v>
                </c:pt>
                <c:pt idx="5">
                  <c:v>190</c:v>
                </c:pt>
                <c:pt idx="6">
                  <c:v>160</c:v>
                </c:pt>
                <c:pt idx="7">
                  <c:v>120</c:v>
                </c:pt>
                <c:pt idx="8">
                  <c:v>80</c:v>
                </c:pt>
                <c:pt idx="9">
                  <c:v>55</c:v>
                </c:pt>
                <c:pt idx="10">
                  <c:v>40</c:v>
                </c:pt>
                <c:pt idx="11">
                  <c:v>30</c:v>
                </c:pt>
                <c:pt idx="12">
                  <c:v>20</c:v>
                </c:pt>
                <c:pt idx="13">
                  <c:v>10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400</c:v>
                </c:pt>
                <c:pt idx="1">
                  <c:v>371.42857142857144</c:v>
                </c:pt>
                <c:pt idx="2">
                  <c:v>342.85714285714289</c:v>
                </c:pt>
                <c:pt idx="3">
                  <c:v>314.28571428571433</c:v>
                </c:pt>
                <c:pt idx="4">
                  <c:v>285.71428571428578</c:v>
                </c:pt>
                <c:pt idx="5">
                  <c:v>257.14285714285722</c:v>
                </c:pt>
                <c:pt idx="6">
                  <c:v>228.57142857142864</c:v>
                </c:pt>
                <c:pt idx="7">
                  <c:v>200.00000000000006</c:v>
                </c:pt>
                <c:pt idx="8">
                  <c:v>171.42857142857147</c:v>
                </c:pt>
                <c:pt idx="9">
                  <c:v>142.85714285714289</c:v>
                </c:pt>
                <c:pt idx="10">
                  <c:v>114.28571428571432</c:v>
                </c:pt>
                <c:pt idx="11">
                  <c:v>85.714285714285751</c:v>
                </c:pt>
                <c:pt idx="12">
                  <c:v>57.142857142857181</c:v>
                </c:pt>
                <c:pt idx="13">
                  <c:v>28.571428571428608</c:v>
                </c:pt>
                <c:pt idx="14">
                  <c:v>3.5527136788005009E-14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200">
              <a:effectLst/>
            </a:endParaRPr>
          </a:p>
          <a:p>
            <a:pPr>
              <a:defRPr/>
            </a:pPr>
            <a:r>
              <a:rPr lang="en-US" sz="1400" b="1" i="0" baseline="0">
                <a:effectLst/>
              </a:rPr>
              <a:t>(Sprint 2 - Analytics)</a:t>
            </a:r>
            <a:endParaRPr lang="en-US" sz="105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400</c:v>
                </c:pt>
                <c:pt idx="1">
                  <c:v>350</c:v>
                </c:pt>
                <c:pt idx="2">
                  <c:v>320</c:v>
                </c:pt>
                <c:pt idx="3">
                  <c:v>275</c:v>
                </c:pt>
                <c:pt idx="4">
                  <c:v>235</c:v>
                </c:pt>
                <c:pt idx="5">
                  <c:v>190</c:v>
                </c:pt>
                <c:pt idx="6">
                  <c:v>160</c:v>
                </c:pt>
                <c:pt idx="7">
                  <c:v>120</c:v>
                </c:pt>
                <c:pt idx="8">
                  <c:v>80</c:v>
                </c:pt>
                <c:pt idx="9">
                  <c:v>55</c:v>
                </c:pt>
                <c:pt idx="10">
                  <c:v>40</c:v>
                </c:pt>
                <c:pt idx="11">
                  <c:v>30</c:v>
                </c:pt>
                <c:pt idx="12">
                  <c:v>20</c:v>
                </c:pt>
                <c:pt idx="13">
                  <c:v>10</c:v>
                </c:pt>
                <c:pt idx="14">
                  <c:v>0</c:v>
                </c:pt>
              </c:numCache>
            </c:numRef>
          </c:val>
          <c:extLst>
            <c:ext xmlns:c16="http://schemas.microsoft.com/office/drawing/2014/chart" uri="{C3380CC4-5D6E-409C-BE32-E72D297353CC}">
              <c16:uniqueId val="{00000000-1638-4698-8BFA-739B03A90391}"/>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400</c:v>
                </c:pt>
                <c:pt idx="1">
                  <c:v>371.42857142857144</c:v>
                </c:pt>
                <c:pt idx="2">
                  <c:v>342.85714285714289</c:v>
                </c:pt>
                <c:pt idx="3">
                  <c:v>314.28571428571433</c:v>
                </c:pt>
                <c:pt idx="4">
                  <c:v>285.71428571428578</c:v>
                </c:pt>
                <c:pt idx="5">
                  <c:v>257.14285714285722</c:v>
                </c:pt>
                <c:pt idx="6">
                  <c:v>228.57142857142864</c:v>
                </c:pt>
                <c:pt idx="7">
                  <c:v>200.00000000000006</c:v>
                </c:pt>
                <c:pt idx="8">
                  <c:v>171.42857142857147</c:v>
                </c:pt>
                <c:pt idx="9">
                  <c:v>142.85714285714289</c:v>
                </c:pt>
                <c:pt idx="10">
                  <c:v>114.28571428571432</c:v>
                </c:pt>
                <c:pt idx="11">
                  <c:v>85.714285714285751</c:v>
                </c:pt>
                <c:pt idx="12">
                  <c:v>57.142857142857181</c:v>
                </c:pt>
                <c:pt idx="13">
                  <c:v>28.571428571428608</c:v>
                </c:pt>
                <c:pt idx="14">
                  <c:v>3.5527136788005009E-14</c:v>
                </c:pt>
              </c:numCache>
            </c:numRef>
          </c:val>
          <c:smooth val="0"/>
          <c:extLst>
            <c:ext xmlns:c16="http://schemas.microsoft.com/office/drawing/2014/chart" uri="{C3380CC4-5D6E-409C-BE32-E72D297353CC}">
              <c16:uniqueId val="{00000001-1638-4698-8BFA-739B03A9039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200">
              <a:effectLst/>
            </a:endParaRPr>
          </a:p>
          <a:p>
            <a:pPr>
              <a:defRPr/>
            </a:pPr>
            <a:r>
              <a:rPr lang="en-US" sz="1400" b="1" i="0" baseline="0">
                <a:effectLst/>
              </a:rPr>
              <a:t>(Sprint  - Analytics)</a:t>
            </a:r>
            <a:endParaRPr lang="en-US" sz="105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3059304932285921E-2"/>
          <c:y val="0.1845446507515473"/>
          <c:w val="0.9026919711329443"/>
          <c:h val="0.55180071987022838"/>
        </c:manualLayout>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400</c:v>
                </c:pt>
                <c:pt idx="1">
                  <c:v>371.42857142857144</c:v>
                </c:pt>
                <c:pt idx="2">
                  <c:v>342.85714285714289</c:v>
                </c:pt>
                <c:pt idx="3">
                  <c:v>314.28571428571433</c:v>
                </c:pt>
                <c:pt idx="4">
                  <c:v>285.71428571428578</c:v>
                </c:pt>
                <c:pt idx="5">
                  <c:v>257.14285714285722</c:v>
                </c:pt>
                <c:pt idx="6">
                  <c:v>228.57142857142864</c:v>
                </c:pt>
                <c:pt idx="7">
                  <c:v>200.00000000000006</c:v>
                </c:pt>
                <c:pt idx="8">
                  <c:v>171.42857142857147</c:v>
                </c:pt>
                <c:pt idx="9">
                  <c:v>142.85714285714289</c:v>
                </c:pt>
                <c:pt idx="10">
                  <c:v>114.28571428571432</c:v>
                </c:pt>
                <c:pt idx="11">
                  <c:v>85.714285714285751</c:v>
                </c:pt>
                <c:pt idx="12">
                  <c:v>57.142857142857181</c:v>
                </c:pt>
                <c:pt idx="13">
                  <c:v>28.571428571428608</c:v>
                </c:pt>
                <c:pt idx="14">
                  <c:v>3.5527136788005009E-14</c:v>
                </c:pt>
              </c:numCache>
            </c:numRef>
          </c:val>
          <c:extLst>
            <c:ext xmlns:c16="http://schemas.microsoft.com/office/drawing/2014/chart" uri="{C3380CC4-5D6E-409C-BE32-E72D297353CC}">
              <c16:uniqueId val="{00000000-C980-4C31-B832-1E419E4CA5B4}"/>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400</c:v>
                </c:pt>
                <c:pt idx="1">
                  <c:v>350</c:v>
                </c:pt>
                <c:pt idx="2">
                  <c:v>320</c:v>
                </c:pt>
                <c:pt idx="3">
                  <c:v>275</c:v>
                </c:pt>
                <c:pt idx="4">
                  <c:v>235</c:v>
                </c:pt>
                <c:pt idx="5">
                  <c:v>190</c:v>
                </c:pt>
                <c:pt idx="6">
                  <c:v>160</c:v>
                </c:pt>
                <c:pt idx="7">
                  <c:v>120</c:v>
                </c:pt>
                <c:pt idx="8">
                  <c:v>80</c:v>
                </c:pt>
                <c:pt idx="9">
                  <c:v>55</c:v>
                </c:pt>
                <c:pt idx="10">
                  <c:v>40</c:v>
                </c:pt>
                <c:pt idx="11">
                  <c:v>30</c:v>
                </c:pt>
                <c:pt idx="12">
                  <c:v>20</c:v>
                </c:pt>
                <c:pt idx="13">
                  <c:v>10</c:v>
                </c:pt>
                <c:pt idx="14">
                  <c:v>0</c:v>
                </c:pt>
              </c:numCache>
            </c:numRef>
          </c:val>
          <c:extLst>
            <c:ext xmlns:c16="http://schemas.microsoft.com/office/drawing/2014/chart" uri="{C3380CC4-5D6E-409C-BE32-E72D297353CC}">
              <c16:uniqueId val="{00000001-C980-4C31-B832-1E419E4CA5B4}"/>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27214</xdr:rowOff>
    </xdr:from>
    <xdr:to>
      <xdr:col>9</xdr:col>
      <xdr:colOff>0</xdr:colOff>
      <xdr:row>21</xdr:row>
      <xdr:rowOff>189139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22</xdr:row>
      <xdr:rowOff>176893</xdr:rowOff>
    </xdr:from>
    <xdr:to>
      <xdr:col>8</xdr:col>
      <xdr:colOff>612321</xdr:colOff>
      <xdr:row>41</xdr:row>
      <xdr:rowOff>148318</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3</xdr:row>
      <xdr:rowOff>27214</xdr:rowOff>
    </xdr:from>
    <xdr:to>
      <xdr:col>18</xdr:col>
      <xdr:colOff>258535</xdr:colOff>
      <xdr:row>21</xdr:row>
      <xdr:rowOff>189139</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14968</xdr:colOff>
      <xdr:row>22</xdr:row>
      <xdr:rowOff>159204</xdr:rowOff>
    </xdr:from>
    <xdr:to>
      <xdr:col>18</xdr:col>
      <xdr:colOff>258535</xdr:colOff>
      <xdr:row>41</xdr:row>
      <xdr:rowOff>130629</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X29"/>
  <sheetViews>
    <sheetView topLeftCell="A4" zoomScale="70" zoomScaleNormal="70" workbookViewId="0">
      <selection activeCell="U19" sqref="U19"/>
    </sheetView>
  </sheetViews>
  <sheetFormatPr defaultRowHeight="15" x14ac:dyDescent="0.25"/>
  <cols>
    <col min="10" max="10" width="2.42578125" customWidth="1"/>
    <col min="11" max="11" width="2.5703125" customWidth="1"/>
    <col min="12" max="12" width="20.85546875" bestFit="1" customWidth="1"/>
    <col min="19" max="19" width="4" customWidth="1"/>
  </cols>
  <sheetData>
    <row r="1" spans="4:12" x14ac:dyDescent="0.25">
      <c r="D1" s="18" t="s">
        <v>4</v>
      </c>
      <c r="E1" s="19"/>
      <c r="F1" s="19"/>
      <c r="G1" s="19"/>
      <c r="H1" s="19"/>
      <c r="I1" s="19"/>
      <c r="J1" s="20"/>
      <c r="L1" s="9" t="s">
        <v>7</v>
      </c>
    </row>
    <row r="2" spans="4:12" x14ac:dyDescent="0.25">
      <c r="D2" s="19"/>
      <c r="E2" s="19"/>
      <c r="F2" s="19"/>
      <c r="G2" s="19"/>
      <c r="H2" s="19"/>
      <c r="I2" s="19"/>
      <c r="J2" s="20"/>
      <c r="L2" s="1" t="s">
        <v>0</v>
      </c>
    </row>
    <row r="3" spans="4:12" x14ac:dyDescent="0.25">
      <c r="L3" s="1" t="s">
        <v>2</v>
      </c>
    </row>
    <row r="29" spans="24:24" x14ac:dyDescent="0.25">
      <c r="X29" s="13"/>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70" zoomScaleNormal="70" workbookViewId="0">
      <pane ySplit="2" topLeftCell="A3" activePane="bottomLeft" state="frozen"/>
      <selection pane="bottomLeft" activeCell="J13" sqref="J13"/>
    </sheetView>
  </sheetViews>
  <sheetFormatPr defaultColWidth="0" defaultRowHeight="15" zeroHeight="1" x14ac:dyDescent="0.25"/>
  <cols>
    <col min="1" max="1" width="51.7109375" customWidth="1"/>
    <col min="2" max="2" width="13.85546875" customWidth="1"/>
    <col min="3" max="15" width="10.7109375" bestFit="1" customWidth="1"/>
    <col min="16" max="16" width="13.140625" bestFit="1" customWidth="1"/>
    <col min="17" max="62" width="9.140625" customWidth="1"/>
    <col min="63" max="16384" width="9.140625" hidden="1"/>
  </cols>
  <sheetData>
    <row r="1" spans="1:62" ht="60" customHeight="1" x14ac:dyDescent="0.25">
      <c r="C1" s="21" t="s">
        <v>9</v>
      </c>
      <c r="D1" s="21"/>
      <c r="E1" s="21"/>
      <c r="F1" s="21"/>
      <c r="G1" s="21"/>
      <c r="H1" s="21"/>
      <c r="I1" s="21"/>
      <c r="J1" s="21"/>
      <c r="K1" s="21"/>
      <c r="L1" s="21"/>
      <c r="M1" s="21"/>
      <c r="N1" s="22" t="s">
        <v>10</v>
      </c>
      <c r="O1" s="23"/>
      <c r="P1" s="23"/>
      <c r="Q1" s="23"/>
      <c r="R1" s="23"/>
      <c r="S1" s="23"/>
      <c r="T1" s="20"/>
    </row>
    <row r="2" spans="1:62" s="1" customFormat="1" ht="33.75" customHeight="1" thickBot="1" x14ac:dyDescent="0.3">
      <c r="A2" s="11" t="s">
        <v>8</v>
      </c>
      <c r="B2" s="11" t="str">
        <f>IF('Burndown Chart'!$L$2="","Planned Effort",'Burndown Chart'!$L$2)</f>
        <v>Planned Effort</v>
      </c>
      <c r="C2" s="24">
        <v>43419</v>
      </c>
      <c r="D2" s="24">
        <v>43420</v>
      </c>
      <c r="E2" s="24">
        <v>43421</v>
      </c>
      <c r="F2" s="24">
        <v>43422</v>
      </c>
      <c r="G2" s="24">
        <v>43423</v>
      </c>
      <c r="H2" s="24">
        <v>43424</v>
      </c>
      <c r="I2" s="24">
        <v>43425</v>
      </c>
      <c r="J2" s="24">
        <v>43426</v>
      </c>
      <c r="K2" s="24">
        <v>43427</v>
      </c>
      <c r="L2" s="24">
        <v>43428</v>
      </c>
      <c r="M2" s="24">
        <v>43429</v>
      </c>
      <c r="N2" s="24">
        <v>43430</v>
      </c>
      <c r="O2" s="24">
        <v>43431</v>
      </c>
      <c r="P2" s="25">
        <v>43432</v>
      </c>
      <c r="Q2" s="11"/>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57.75" thickBot="1" x14ac:dyDescent="0.3">
      <c r="A3" s="16" t="s">
        <v>11</v>
      </c>
      <c r="B3">
        <v>50</v>
      </c>
      <c r="C3" s="3">
        <v>50</v>
      </c>
      <c r="D3" s="3">
        <v>50</v>
      </c>
      <c r="E3" s="3">
        <v>45</v>
      </c>
      <c r="F3" s="3">
        <v>40</v>
      </c>
      <c r="G3" s="3">
        <v>35</v>
      </c>
      <c r="H3" s="3">
        <v>35</v>
      </c>
      <c r="I3" s="3">
        <v>30</v>
      </c>
      <c r="J3" s="3">
        <v>25</v>
      </c>
      <c r="K3" s="12">
        <v>25</v>
      </c>
      <c r="L3" s="12">
        <v>20</v>
      </c>
      <c r="M3" s="12">
        <v>15</v>
      </c>
      <c r="N3" s="12">
        <v>10</v>
      </c>
      <c r="O3" s="12">
        <v>5</v>
      </c>
      <c r="P3" s="12">
        <v>0</v>
      </c>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16" t="s">
        <v>12</v>
      </c>
      <c r="B4" s="13">
        <v>50</v>
      </c>
      <c r="C4" s="14">
        <v>40</v>
      </c>
      <c r="D4" s="14">
        <v>35</v>
      </c>
      <c r="E4" s="14">
        <v>30</v>
      </c>
      <c r="F4" s="14">
        <v>25</v>
      </c>
      <c r="G4" s="14">
        <v>20</v>
      </c>
      <c r="H4" s="14">
        <v>15</v>
      </c>
      <c r="I4" s="14">
        <v>10</v>
      </c>
      <c r="J4" s="14">
        <v>5</v>
      </c>
      <c r="K4" s="12">
        <v>0</v>
      </c>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16" t="s">
        <v>13</v>
      </c>
      <c r="B5" s="13">
        <v>50</v>
      </c>
      <c r="C5" s="14">
        <v>40</v>
      </c>
      <c r="D5" s="14">
        <v>35</v>
      </c>
      <c r="E5" s="14">
        <v>30</v>
      </c>
      <c r="F5" s="14">
        <v>25</v>
      </c>
      <c r="G5" s="14">
        <v>20</v>
      </c>
      <c r="H5" s="14">
        <v>15</v>
      </c>
      <c r="I5" s="14">
        <v>10</v>
      </c>
      <c r="J5" s="14">
        <v>5</v>
      </c>
      <c r="K5" s="12">
        <v>0</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17" t="s">
        <v>14</v>
      </c>
      <c r="B6" s="13">
        <v>50</v>
      </c>
      <c r="C6" s="14">
        <v>40</v>
      </c>
      <c r="D6" s="14">
        <v>35</v>
      </c>
      <c r="E6" s="14">
        <v>30</v>
      </c>
      <c r="F6" s="14">
        <v>25</v>
      </c>
      <c r="G6" s="14">
        <v>20</v>
      </c>
      <c r="H6" s="14">
        <v>15</v>
      </c>
      <c r="I6" s="14">
        <v>10</v>
      </c>
      <c r="J6" s="14">
        <v>5</v>
      </c>
      <c r="K6" s="12">
        <v>0</v>
      </c>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43.5" thickBot="1" x14ac:dyDescent="0.3">
      <c r="A7" s="17" t="s">
        <v>15</v>
      </c>
      <c r="B7" s="13">
        <v>50</v>
      </c>
      <c r="C7" s="14">
        <v>50</v>
      </c>
      <c r="D7" s="14">
        <v>50</v>
      </c>
      <c r="E7" s="14">
        <v>45</v>
      </c>
      <c r="F7" s="14">
        <v>40</v>
      </c>
      <c r="G7" s="14">
        <v>35</v>
      </c>
      <c r="H7" s="14">
        <v>35</v>
      </c>
      <c r="I7" s="14">
        <v>30</v>
      </c>
      <c r="J7" s="14">
        <v>25</v>
      </c>
      <c r="K7" s="12">
        <v>25</v>
      </c>
      <c r="L7" s="12">
        <v>20</v>
      </c>
      <c r="M7" s="12">
        <v>15</v>
      </c>
      <c r="N7" s="12">
        <v>10</v>
      </c>
      <c r="O7" s="12">
        <v>5</v>
      </c>
      <c r="P7" s="12">
        <v>0</v>
      </c>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29.25" thickBot="1" x14ac:dyDescent="0.3">
      <c r="A8" s="17" t="s">
        <v>16</v>
      </c>
      <c r="B8" s="13">
        <v>50</v>
      </c>
      <c r="C8" s="14">
        <v>40</v>
      </c>
      <c r="D8" s="14">
        <v>35</v>
      </c>
      <c r="E8" s="14">
        <v>30</v>
      </c>
      <c r="F8" s="14">
        <v>25</v>
      </c>
      <c r="G8" s="14">
        <v>20</v>
      </c>
      <c r="H8" s="14">
        <v>15</v>
      </c>
      <c r="I8" s="14">
        <v>10</v>
      </c>
      <c r="J8" s="14">
        <v>5</v>
      </c>
      <c r="K8" s="12">
        <v>0</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29.25" thickBot="1" x14ac:dyDescent="0.3">
      <c r="A9" s="16" t="s">
        <v>17</v>
      </c>
      <c r="B9" s="13">
        <v>50</v>
      </c>
      <c r="C9" s="14">
        <v>40</v>
      </c>
      <c r="D9" s="14">
        <v>35</v>
      </c>
      <c r="E9" s="14">
        <v>30</v>
      </c>
      <c r="F9" s="14">
        <v>25</v>
      </c>
      <c r="G9" s="14">
        <v>20</v>
      </c>
      <c r="H9" s="14">
        <v>15</v>
      </c>
      <c r="I9" s="14">
        <v>10</v>
      </c>
      <c r="J9" s="14">
        <v>5</v>
      </c>
      <c r="K9" s="12">
        <v>0</v>
      </c>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29.25" thickBot="1" x14ac:dyDescent="0.3">
      <c r="A10" s="16" t="s">
        <v>18</v>
      </c>
      <c r="B10" s="13">
        <v>50</v>
      </c>
      <c r="C10" s="14">
        <v>50</v>
      </c>
      <c r="D10" s="14">
        <v>45</v>
      </c>
      <c r="E10" s="14">
        <v>35</v>
      </c>
      <c r="F10" s="14">
        <v>30</v>
      </c>
      <c r="G10" s="14">
        <v>20</v>
      </c>
      <c r="H10" s="14">
        <v>15</v>
      </c>
      <c r="I10" s="14">
        <v>10</v>
      </c>
      <c r="J10" s="14">
        <v>5</v>
      </c>
      <c r="K10" s="12">
        <v>5</v>
      </c>
      <c r="L10" s="3">
        <v>0</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B11" s="13"/>
      <c r="C11" s="14"/>
      <c r="D11" s="14"/>
      <c r="E11" s="14"/>
      <c r="F11" s="14"/>
      <c r="G11" s="14"/>
      <c r="H11" s="14"/>
      <c r="I11" s="14"/>
      <c r="J11" s="14"/>
      <c r="K11" s="12"/>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B12" s="13"/>
      <c r="C12" s="14"/>
      <c r="D12" s="14"/>
      <c r="E12" s="14"/>
      <c r="F12" s="14"/>
      <c r="G12" s="14"/>
      <c r="H12" s="14"/>
      <c r="I12" s="14"/>
      <c r="J12" s="14"/>
      <c r="K12" s="12"/>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B13" s="13"/>
      <c r="C13" s="14"/>
      <c r="D13" s="14"/>
      <c r="E13" s="14"/>
      <c r="F13" s="14"/>
      <c r="G13" s="14"/>
      <c r="H13" s="14"/>
      <c r="I13" s="14"/>
      <c r="J13" s="14"/>
      <c r="K13" s="12"/>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s="15"/>
      <c r="B14" s="13"/>
      <c r="C14" s="14"/>
      <c r="D14" s="14"/>
      <c r="E14" s="14"/>
      <c r="F14" s="14"/>
      <c r="G14" s="14"/>
      <c r="H14" s="14"/>
      <c r="I14" s="14"/>
      <c r="J14" s="14"/>
      <c r="K14" s="12"/>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15.75"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15.75"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15.75"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15.75"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15.75"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15.75"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15.75"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ht="15.75"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ht="15.75"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ht="15.75"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ht="15.75"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ht="15.75"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ht="15.75" x14ac:dyDescent="0.25">
      <c r="A27" s="10"/>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ht="15.75" x14ac:dyDescent="0.25">
      <c r="A28" s="10"/>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ht="15.75" x14ac:dyDescent="0.25">
      <c r="A29" s="10"/>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ht="15.75" x14ac:dyDescent="0.25">
      <c r="A30" s="10"/>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Q2:BJ2">
    <cfRule type="expression" dxfId="1" priority="3">
      <formula>AND(Q$2&lt;&gt;"",WEEKDAY(Q$2,2)&gt;5)</formula>
    </cfRule>
  </conditionalFormatting>
  <conditionalFormatting sqref="C2:P2">
    <cfRule type="expression" dxfId="0" priority="1">
      <formula>AND(C$2&lt;&gt;"",WEEKDAY(C$2,2)&gt;5)</formula>
    </cfRule>
  </conditionalFormatting>
  <dataValidations xWindow="525" yWindow="441"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xr:uid="{00000000-0002-0000-0100-000001000000}">
      <formula1>0</formula1>
    </dataValidation>
    <dataValidation type="custom" showInputMessage="1" showErrorMessage="1" errorTitle="Input Error" error="Read the Validations Rules to Input Right Data" sqref="C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43419</v>
      </c>
      <c r="D1" s="8">
        <f>IF(Input!D$2="","",Input!D$2)</f>
        <v>43420</v>
      </c>
      <c r="E1" s="8">
        <f>IF(Input!E$2="","",Input!E$2)</f>
        <v>43421</v>
      </c>
      <c r="F1" s="8">
        <f>IF(Input!F$2="","",Input!F$2)</f>
        <v>43422</v>
      </c>
      <c r="G1" s="8">
        <f>IF(Input!G$2="","",Input!G$2)</f>
        <v>43423</v>
      </c>
      <c r="H1" s="8">
        <f>IF(Input!H$2="","",Input!H$2)</f>
        <v>43424</v>
      </c>
      <c r="I1" s="8">
        <f>IF(Input!I$2="","",Input!I$2)</f>
        <v>43425</v>
      </c>
      <c r="J1" s="8">
        <f>IF(Input!J$2="","",Input!J$2)</f>
        <v>43426</v>
      </c>
      <c r="K1" s="8">
        <f>IF(Input!K$2="","",Input!K$2)</f>
        <v>43427</v>
      </c>
      <c r="L1" s="8">
        <f>IF(Input!L$2="","",Input!L$2)</f>
        <v>43428</v>
      </c>
      <c r="M1" s="8">
        <f>IF(Input!M$2="","",Input!M$2)</f>
        <v>43429</v>
      </c>
      <c r="N1" s="8">
        <f>IF(Input!N$2="","",Input!N$2)</f>
        <v>43430</v>
      </c>
      <c r="O1" s="8">
        <f>IF(Input!O$2="","",Input!O$2)</f>
        <v>43431</v>
      </c>
      <c r="P1" s="8">
        <f>IF(Input!P$2="","",Input!P$2)</f>
        <v>43432</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400</v>
      </c>
      <c r="C2" s="4">
        <f t="shared" ref="C2:AH2" si="0">IF(C$1="","",B$2-$B$2/(SUMPRODUCT(--($C$1:$BJ$1&lt;&gt;""))))</f>
        <v>371.42857142857144</v>
      </c>
      <c r="D2" s="4">
        <f t="shared" si="0"/>
        <v>342.85714285714289</v>
      </c>
      <c r="E2" s="4">
        <f t="shared" si="0"/>
        <v>314.28571428571433</v>
      </c>
      <c r="F2" s="4">
        <f t="shared" si="0"/>
        <v>285.71428571428578</v>
      </c>
      <c r="G2" s="4">
        <f t="shared" si="0"/>
        <v>257.14285714285722</v>
      </c>
      <c r="H2" s="4">
        <f t="shared" si="0"/>
        <v>228.57142857142864</v>
      </c>
      <c r="I2" s="4">
        <f t="shared" si="0"/>
        <v>200.00000000000006</v>
      </c>
      <c r="J2" s="4">
        <f t="shared" si="0"/>
        <v>171.42857142857147</v>
      </c>
      <c r="K2" s="4">
        <f t="shared" si="0"/>
        <v>142.85714285714289</v>
      </c>
      <c r="L2" s="4">
        <f t="shared" si="0"/>
        <v>114.28571428571432</v>
      </c>
      <c r="M2" s="4">
        <f t="shared" si="0"/>
        <v>85.714285714285751</v>
      </c>
      <c r="N2" s="4">
        <f t="shared" si="0"/>
        <v>57.142857142857181</v>
      </c>
      <c r="O2" s="4">
        <f t="shared" si="0"/>
        <v>28.571428571428608</v>
      </c>
      <c r="P2" s="4">
        <f t="shared" si="0"/>
        <v>3.5527136788005009E-14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400</v>
      </c>
      <c r="C3" s="4">
        <f>IF(C$1="","",SUM(Input!C$3:C$202))</f>
        <v>350</v>
      </c>
      <c r="D3" s="4">
        <f>IF(D$1="","",SUM(Input!D$3:D$202))</f>
        <v>320</v>
      </c>
      <c r="E3" s="4">
        <f>IF(E$1="","",SUM(Input!E$3:E$202))</f>
        <v>275</v>
      </c>
      <c r="F3" s="4">
        <f>IF(F$1="","",SUM(Input!F$3:F$202))</f>
        <v>235</v>
      </c>
      <c r="G3" s="4">
        <f>IF(G$1="","",SUM(Input!G$3:G$202))</f>
        <v>190</v>
      </c>
      <c r="H3" s="4">
        <f>IF(H$1="","",SUM(Input!H$3:H$202))</f>
        <v>160</v>
      </c>
      <c r="I3" s="4">
        <f>IF(I$1="","",SUM(Input!I$3:I$202))</f>
        <v>120</v>
      </c>
      <c r="J3" s="4">
        <f>IF(J$1="","",SUM(Input!J$3:J$202))</f>
        <v>80</v>
      </c>
      <c r="K3" s="4">
        <f>IF(K$1="","",SUM(Input!K$3:K$202))</f>
        <v>55</v>
      </c>
      <c r="L3" s="4">
        <f>IF(L$1="","",SUM(Input!L$3:L$202))</f>
        <v>40</v>
      </c>
      <c r="M3" s="4">
        <f>IF(M$1="","",SUM(Input!M$3:M$202))</f>
        <v>30</v>
      </c>
      <c r="N3" s="4">
        <f>IF(N$1="","",SUM(Input!N$3:N$202))</f>
        <v>20</v>
      </c>
      <c r="O3" s="4">
        <f>IF(O$1="","",SUM(Input!O$3:O$202))</f>
        <v>10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8</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2018-12-08T03:17:51Z</dcterms:modified>
</cp:coreProperties>
</file>