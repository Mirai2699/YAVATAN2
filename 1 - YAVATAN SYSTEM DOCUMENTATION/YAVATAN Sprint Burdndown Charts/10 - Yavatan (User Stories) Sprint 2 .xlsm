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5103044E-8FF1-4E56-9339-E8ECC7EE2E2B}" xr6:coauthVersionLast="40" xr6:coauthVersionMax="40" xr10:uidLastSave="{00000000-0000-0000-0000-000000000000}"/>
  <workbookProtection workbookPassword="B126" lockStructure="1"/>
  <bookViews>
    <workbookView xWindow="0" yWindow="0" windowWidth="19200" windowHeight="6945"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P4" i="4"/>
  <c r="R4" i="4"/>
  <c r="Q4" i="4"/>
  <c r="O4" i="4"/>
  <c r="G4" i="4"/>
  <c r="L4" i="4"/>
  <c r="H4" i="4"/>
  <c r="J4" i="4"/>
  <c r="I4" i="4"/>
  <c r="C4" i="4"/>
  <c r="F4" i="4"/>
  <c r="D4" i="4"/>
  <c r="E4" i="4"/>
  <c r="M4" i="4"/>
  <c r="N4" i="4"/>
  <c r="K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<sst xmlns="http://schemas.openxmlformats.org/spreadsheetml/2006/main" count="29" uniqueCount="29">
  <si>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</si>
  <si>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</si>
  <si>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</si>
  <si>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</si>
  <si>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</si>
  <si>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</si>
  <si>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</si>
  <si>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</si>
  <si>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</si>
  <si>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</si>
  <si>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</si>
  <si>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system administrator, I want to set up and manage the entities for churches.</t>
  </si>
  <si>
    <t>As a system administrator, I want to create and manage system user accounts.</t>
  </si>
  <si>
    <t>As a system administrator, I want to mine and view the data for cities and religions per regions.</t>
  </si>
  <si>
    <t xml:space="preserve">As a group leader, I want to layout the budget and expenses of my events. </t>
  </si>
  <si>
    <t>As a group leader, I want to mark my event as done.</t>
  </si>
  <si>
    <t>As a group leader, I want to have an event entry analysis based the system prescription before saving my entries in creating an event</t>
  </si>
  <si>
    <t>As a group leader, I want to modify the details of the event even after I saved it.</t>
  </si>
  <si>
    <t>As a group leader, I want to add and view the attendance for the particular event I created.</t>
  </si>
  <si>
    <t>As a group leader, I want to modify the details of the group I was assigned to.</t>
  </si>
  <si>
    <t>As a group leader, I want to view and manage the member of my group.</t>
  </si>
  <si>
    <t>As a group leader, I want to toggle the status of my volunteers and group members</t>
  </si>
  <si>
    <t>As a group leader, I want change the status of my member if they are a contact or not.</t>
  </si>
  <si>
    <t>As a volunteer, I want to see the activities of the event I want to join.</t>
  </si>
  <si>
    <t>As a volunteer, I want to see the materials of the event I want to join.</t>
  </si>
  <si>
    <t>As a volunteer, I want to see all the events available in the posting of the system.</t>
  </si>
  <si>
    <t>As a volunteer, I want to see all the groups available for registration of membership.</t>
  </si>
  <si>
    <t>As a volunteer, I can be able to add the attendance record of a particular event I joined in.</t>
  </si>
  <si>
    <t>As a group leader, I want to send an announcement via short message 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</si>
</sst>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m/dd/yy;@"/>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1"/>
      <color theme="1"/>
      <name val="Arial"/>
      <family val="2"/>
    </font>
    <font>
      <b/>
      <sz val="12"/>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s>
  <cellStyleXfs count="1">
    <xf numFmtId="0" fontId="0" fillId="0" borderId="0"/>
  </cellStyleXfs>
  <cellXfs count="23">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164" fontId="7" fillId="0" borderId="0" xfId="0" applyNumberFormat="1" applyFon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166" fontId="7" fillId="0" borderId="0" xfId="0" applyNumberFormat="1" applyFont="1" applyAlignment="1"/>
    <xf numFmtId="14" fontId="7" fillId="0" borderId="0" xfId="0" applyNumberFormat="1" applyFont="1" applyAlignment="1"/>
    <xf numFmtId="0" fontId="6" fillId="0" borderId="1" xfId="0" applyFont="1" applyBorder="1" applyAlignment="1">
      <alignment vertical="center" wrapText="1"/>
    </xf>
    <xf numFmtId="0" fontId="6" fillId="0" borderId="2" xfId="0" applyFont="1" applyBorder="1" applyAlignment="1">
      <alignment vertical="center" wrapText="1"/>
    </xf>
    <xf numFmtId="0" fontId="6" fillId="0" borderId="3" xfId="0" applyFont="1" applyBorder="1" applyAlignment="1">
      <alignment vertical="center" wrapText="1"/>
    </xf>
  </cellXfs>
  <cellStyles count="1">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p>
          <a:p>
            <a:pPr>
              <a:defRPr/>
            </a:pPr>
            <a:r>
              <a:rPr lang="en-US" b="1"/>
              <a:t>(Sprint 2 - User Stories)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540</c:v>
                </c:pt>
                <c:pt idx="1">
                  <c:v>501.42857142857144</c:v>
                </c:pt>
                <c:pt idx="2">
                  <c:v>462.85714285714289</c:v>
                </c:pt>
                <c:pt idx="3">
                  <c:v>424.28571428571433</c:v>
                </c:pt>
                <c:pt idx="4">
                  <c:v>385.71428571428578</c:v>
                </c:pt>
                <c:pt idx="5">
                  <c:v>347.14285714285722</c:v>
                </c:pt>
                <c:pt idx="6">
                  <c:v>308.57142857142867</c:v>
                </c:pt>
                <c:pt idx="7">
                  <c:v>270.00000000000011</c:v>
                </c:pt>
                <c:pt idx="8">
                  <c:v>231.42857142857156</c:v>
                </c:pt>
                <c:pt idx="9">
                  <c:v>192.857142857143</c:v>
                </c:pt>
                <c:pt idx="10">
                  <c:v>154.28571428571445</c:v>
                </c:pt>
                <c:pt idx="11">
                  <c:v>115.71428571428588</c:v>
                </c:pt>
                <c:pt idx="12">
                  <c:v>77.142857142857309</c:v>
                </c:pt>
                <c:pt idx="13">
                  <c:v>38.57142857142874</c:v>
                </c:pt>
                <c:pt idx="14">
                  <c:v>1.7053025658242404E-13</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540</c:v>
                </c:pt>
                <c:pt idx="1">
                  <c:v>540</c:v>
                </c:pt>
                <c:pt idx="2">
                  <c:v>450</c:v>
                </c:pt>
                <c:pt idx="3">
                  <c:v>385</c:v>
                </c:pt>
                <c:pt idx="4">
                  <c:v>295</c:v>
                </c:pt>
                <c:pt idx="5">
                  <c:v>180</c:v>
                </c:pt>
                <c:pt idx="6">
                  <c:v>155</c:v>
                </c:pt>
                <c:pt idx="7">
                  <c:v>100</c:v>
                </c:pt>
                <c:pt idx="8">
                  <c:v>95</c:v>
                </c:pt>
                <c:pt idx="9">
                  <c:v>65</c:v>
                </c:pt>
                <c:pt idx="10">
                  <c:v>45</c:v>
                </c:pt>
                <c:pt idx="11">
                  <c:v>25</c:v>
                </c:pt>
                <c:pt idx="12">
                  <c:v>25</c:v>
                </c:pt>
                <c:pt idx="13">
                  <c:v>25</c:v>
                </c:pt>
                <c:pt idx="14">
                  <c:v>25</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a:t>
            </a:r>
            <a:r>
              <a:rPr lang="en-US" sz="1400" b="1" i="0" u="none" strike="noStrike" cap="none" baseline="0">
                <a:effectLst/>
              </a:rPr>
              <a:t>- User Stories</a:t>
            </a:r>
            <a:r>
              <a:rPr lang="en-US" sz="1400" b="1" i="0" baseline="0">
                <a:effectLst/>
              </a:rPr>
              <a:t>)</a:t>
            </a:r>
            <a:endParaRPr lang="en-US" sz="1100">
              <a:effectLst/>
            </a:endParaRPr>
          </a:p>
        </c:rich>
      </c:tx>
      <c:layout>
        <c:manualLayout>
          <c:xMode val="edge"/>
          <c:yMode val="edge"/>
          <c:x val="0.45805823337503371"/>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5.8054562617487079E-2"/>
          <c:y val="0.21394348252887488"/>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540</c:v>
                </c:pt>
                <c:pt idx="1">
                  <c:v>540</c:v>
                </c:pt>
                <c:pt idx="2">
                  <c:v>450</c:v>
                </c:pt>
                <c:pt idx="3">
                  <c:v>385</c:v>
                </c:pt>
                <c:pt idx="4">
                  <c:v>295</c:v>
                </c:pt>
                <c:pt idx="5">
                  <c:v>180</c:v>
                </c:pt>
                <c:pt idx="6">
                  <c:v>155</c:v>
                </c:pt>
                <c:pt idx="7">
                  <c:v>100</c:v>
                </c:pt>
                <c:pt idx="8">
                  <c:v>95</c:v>
                </c:pt>
                <c:pt idx="9">
                  <c:v>65</c:v>
                </c:pt>
                <c:pt idx="10">
                  <c:v>45</c:v>
                </c:pt>
                <c:pt idx="11">
                  <c:v>25</c:v>
                </c:pt>
                <c:pt idx="12">
                  <c:v>25</c:v>
                </c:pt>
                <c:pt idx="13">
                  <c:v>25</c:v>
                </c:pt>
                <c:pt idx="14">
                  <c:v>25</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540</c:v>
                </c:pt>
                <c:pt idx="1">
                  <c:v>501.42857142857144</c:v>
                </c:pt>
                <c:pt idx="2">
                  <c:v>462.85714285714289</c:v>
                </c:pt>
                <c:pt idx="3">
                  <c:v>424.28571428571433</c:v>
                </c:pt>
                <c:pt idx="4">
                  <c:v>385.71428571428578</c:v>
                </c:pt>
                <c:pt idx="5">
                  <c:v>347.14285714285722</c:v>
                </c:pt>
                <c:pt idx="6">
                  <c:v>308.57142857142867</c:v>
                </c:pt>
                <c:pt idx="7">
                  <c:v>270.00000000000011</c:v>
                </c:pt>
                <c:pt idx="8">
                  <c:v>231.42857142857156</c:v>
                </c:pt>
                <c:pt idx="9">
                  <c:v>192.857142857143</c:v>
                </c:pt>
                <c:pt idx="10">
                  <c:v>154.28571428571445</c:v>
                </c:pt>
                <c:pt idx="11">
                  <c:v>115.71428571428588</c:v>
                </c:pt>
                <c:pt idx="12">
                  <c:v>77.142857142857309</c:v>
                </c:pt>
                <c:pt idx="13">
                  <c:v>38.57142857142874</c:v>
                </c:pt>
                <c:pt idx="14">
                  <c:v>1.7053025658242404E-13</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a:t>
            </a:r>
            <a:r>
              <a:rPr lang="en-US" sz="1400" b="1" i="0" u="none" strike="noStrike" cap="none" baseline="0">
                <a:effectLst/>
              </a:rPr>
              <a:t>- User Stories</a:t>
            </a:r>
            <a:r>
              <a:rPr lang="en-US" sz="1400" b="1" i="0" baseline="0">
                <a:effectLst/>
              </a:rPr>
              <a:t>)</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540</c:v>
                </c:pt>
                <c:pt idx="1">
                  <c:v>540</c:v>
                </c:pt>
                <c:pt idx="2">
                  <c:v>450</c:v>
                </c:pt>
                <c:pt idx="3">
                  <c:v>385</c:v>
                </c:pt>
                <c:pt idx="4">
                  <c:v>295</c:v>
                </c:pt>
                <c:pt idx="5">
                  <c:v>180</c:v>
                </c:pt>
                <c:pt idx="6">
                  <c:v>155</c:v>
                </c:pt>
                <c:pt idx="7">
                  <c:v>100</c:v>
                </c:pt>
                <c:pt idx="8">
                  <c:v>95</c:v>
                </c:pt>
                <c:pt idx="9">
                  <c:v>65</c:v>
                </c:pt>
                <c:pt idx="10">
                  <c:v>45</c:v>
                </c:pt>
                <c:pt idx="11">
                  <c:v>25</c:v>
                </c:pt>
                <c:pt idx="12">
                  <c:v>25</c:v>
                </c:pt>
                <c:pt idx="13">
                  <c:v>25</c:v>
                </c:pt>
                <c:pt idx="14">
                  <c:v>25</c:v>
                </c:pt>
              </c:numCache>
            </c:numRef>
          </c:val>
          <c:extLst>
            <c:ext xmlns:c16="http://schemas.microsoft.com/office/drawing/2014/chart" uri="{C3380CC4-5D6E-409C-BE32-E72D297353CC}">
              <c16:uniqueId val="{00000000-81EF-4708-91CE-A846EF550C6C}"/>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540</c:v>
                </c:pt>
                <c:pt idx="1">
                  <c:v>501.42857142857144</c:v>
                </c:pt>
                <c:pt idx="2">
                  <c:v>462.85714285714289</c:v>
                </c:pt>
                <c:pt idx="3">
                  <c:v>424.28571428571433</c:v>
                </c:pt>
                <c:pt idx="4">
                  <c:v>385.71428571428578</c:v>
                </c:pt>
                <c:pt idx="5">
                  <c:v>347.14285714285722</c:v>
                </c:pt>
                <c:pt idx="6">
                  <c:v>308.57142857142867</c:v>
                </c:pt>
                <c:pt idx="7">
                  <c:v>270.00000000000011</c:v>
                </c:pt>
                <c:pt idx="8">
                  <c:v>231.42857142857156</c:v>
                </c:pt>
                <c:pt idx="9">
                  <c:v>192.857142857143</c:v>
                </c:pt>
                <c:pt idx="10">
                  <c:v>154.28571428571445</c:v>
                </c:pt>
                <c:pt idx="11">
                  <c:v>115.71428571428588</c:v>
                </c:pt>
                <c:pt idx="12">
                  <c:v>77.142857142857309</c:v>
                </c:pt>
                <c:pt idx="13">
                  <c:v>38.57142857142874</c:v>
                </c:pt>
                <c:pt idx="14">
                  <c:v>1.7053025658242404E-13</c:v>
                </c:pt>
              </c:numCache>
            </c:numRef>
          </c:val>
          <c:smooth val="0"/>
          <c:extLst>
            <c:ext xmlns:c16="http://schemas.microsoft.com/office/drawing/2014/chart" uri="{C3380CC4-5D6E-409C-BE32-E72D297353CC}">
              <c16:uniqueId val="{00000001-81EF-4708-91CE-A846EF550C6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a:t>
            </a:r>
            <a:r>
              <a:rPr lang="en-US" sz="1400" b="1" i="0" u="none" strike="noStrike" cap="none" baseline="0">
                <a:effectLst/>
              </a:rPr>
              <a:t>- User Stories</a:t>
            </a:r>
            <a:r>
              <a:rPr lang="en-US" sz="1400" b="1" i="0" baseline="0">
                <a:effectLst/>
              </a:rPr>
              <a:t>)</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540</c:v>
                </c:pt>
                <c:pt idx="1">
                  <c:v>501.42857142857144</c:v>
                </c:pt>
                <c:pt idx="2">
                  <c:v>462.85714285714289</c:v>
                </c:pt>
                <c:pt idx="3">
                  <c:v>424.28571428571433</c:v>
                </c:pt>
                <c:pt idx="4">
                  <c:v>385.71428571428578</c:v>
                </c:pt>
                <c:pt idx="5">
                  <c:v>347.14285714285722</c:v>
                </c:pt>
                <c:pt idx="6">
                  <c:v>308.57142857142867</c:v>
                </c:pt>
                <c:pt idx="7">
                  <c:v>270.00000000000011</c:v>
                </c:pt>
                <c:pt idx="8">
                  <c:v>231.42857142857156</c:v>
                </c:pt>
                <c:pt idx="9">
                  <c:v>192.857142857143</c:v>
                </c:pt>
                <c:pt idx="10">
                  <c:v>154.28571428571445</c:v>
                </c:pt>
                <c:pt idx="11">
                  <c:v>115.71428571428588</c:v>
                </c:pt>
                <c:pt idx="12">
                  <c:v>77.142857142857309</c:v>
                </c:pt>
                <c:pt idx="13">
                  <c:v>38.57142857142874</c:v>
                </c:pt>
                <c:pt idx="14">
                  <c:v>1.7053025658242404E-13</c:v>
                </c:pt>
              </c:numCache>
            </c:numRef>
          </c:val>
          <c:extLst>
            <c:ext xmlns:c16="http://schemas.microsoft.com/office/drawing/2014/chart" uri="{C3380CC4-5D6E-409C-BE32-E72D297353CC}">
              <c16:uniqueId val="{00000000-8723-4E63-BE86-7586ED88DDB6}"/>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540</c:v>
                </c:pt>
                <c:pt idx="1">
                  <c:v>540</c:v>
                </c:pt>
                <c:pt idx="2">
                  <c:v>450</c:v>
                </c:pt>
                <c:pt idx="3">
                  <c:v>385</c:v>
                </c:pt>
                <c:pt idx="4">
                  <c:v>295</c:v>
                </c:pt>
                <c:pt idx="5">
                  <c:v>180</c:v>
                </c:pt>
                <c:pt idx="6">
                  <c:v>155</c:v>
                </c:pt>
                <c:pt idx="7">
                  <c:v>100</c:v>
                </c:pt>
                <c:pt idx="8">
                  <c:v>95</c:v>
                </c:pt>
                <c:pt idx="9">
                  <c:v>65</c:v>
                </c:pt>
                <c:pt idx="10">
                  <c:v>45</c:v>
                </c:pt>
                <c:pt idx="11">
                  <c:v>25</c:v>
                </c:pt>
                <c:pt idx="12">
                  <c:v>25</c:v>
                </c:pt>
                <c:pt idx="13">
                  <c:v>25</c:v>
                </c:pt>
                <c:pt idx="14">
                  <c:v>25</c:v>
                </c:pt>
              </c:numCache>
            </c:numRef>
          </c:val>
          <c:extLst>
            <c:ext xmlns:c16="http://schemas.microsoft.com/office/drawing/2014/chart" uri="{C3380CC4-5D6E-409C-BE32-E72D297353CC}">
              <c16:uniqueId val="{00000001-8723-4E63-BE86-7586ED88DDB6}"/>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19916</xdr:rowOff>
    </xdr:from>
    <xdr:to>
      <xdr:col>9</xdr:col>
      <xdr:colOff>571500</xdr:colOff>
      <xdr:row>21</xdr:row>
      <xdr:rowOff>181841</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23</xdr:row>
      <xdr:rowOff>19916</xdr:rowOff>
    </xdr:from>
    <xdr:to>
      <xdr:col>9</xdr:col>
      <xdr:colOff>571500</xdr:colOff>
      <xdr:row>41</xdr:row>
      <xdr:rowOff>181841</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17318</xdr:colOff>
      <xdr:row>3</xdr:row>
      <xdr:rowOff>0</xdr:rowOff>
    </xdr:from>
    <xdr:to>
      <xdr:col>19</xdr:col>
      <xdr:colOff>525730</xdr:colOff>
      <xdr:row>21</xdr:row>
      <xdr:rowOff>161925</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170830</xdr:colOff>
      <xdr:row>23</xdr:row>
      <xdr:rowOff>18184</xdr:rowOff>
    </xdr:from>
    <xdr:to>
      <xdr:col>19</xdr:col>
      <xdr:colOff>500618</xdr:colOff>
      <xdr:row>41</xdr:row>
      <xdr:rowOff>180109</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abSelected="1" zoomScale="55" zoomScaleNormal="55" workbookViewId="0">
      <selection activeCell="AE25" sqref="AE25"/>
    </sheetView>
  </sheetViews>
  <sheetFormatPr defaultRowHeight="15" x14ac:dyDescent="0.25"/>
  <cols>
    <col min="11" max="11" width="2.5703125" customWidth="1"/>
    <col min="12" max="12" width="20.85546875" bestFit="1" customWidth="1"/>
  </cols>
  <sheetData>
    <row r="1" spans="4:12" x14ac:dyDescent="0.25">
      <c r="D1" s="12" t="s">
        <v>4</v>
      </c>
      <c r="E1" s="13"/>
      <c r="F1" s="13"/>
      <c r="G1" s="13"/>
      <c r="H1" s="13"/>
      <c r="I1" s="13"/>
      <c r="J1" s="14"/>
      <c r="L1" s="9" t="s">
        <v>7</v>
      </c>
    </row>
    <row r="2" spans="4:12" x14ac:dyDescent="0.25">
      <c r="D2" s="13"/>
      <c r="E2" s="13"/>
      <c r="F2" s="13"/>
      <c r="G2" s="13"/>
      <c r="H2" s="13"/>
      <c r="I2" s="13"/>
      <c r="J2" s="14"/>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zoomScale="55" zoomScaleNormal="55" workbookViewId="0">
      <pane ySplit="2" topLeftCell="A3" activePane="bottomLeft" state="frozen"/>
      <selection pane="bottomLeft" activeCell="T5" sqref="T5"/>
    </sheetView>
  </sheetViews>
  <sheetFormatPr defaultColWidth="0" defaultRowHeight="15" zeroHeight="1" x14ac:dyDescent="0.25"/>
  <cols>
    <col min="1" max="1" width="51.7109375" customWidth="1"/>
    <col min="2" max="2" width="13.85546875" customWidth="1"/>
    <col min="3" max="11" width="12" bestFit="1" customWidth="1"/>
    <col min="12" max="16" width="13.140625" bestFit="1" customWidth="1"/>
    <col min="17" max="62" width="9.140625" customWidth="1"/>
    <col min="63" max="16384" width="9.140625" hidden="1"/>
  </cols>
  <sheetData>
    <row r="1" spans="1:62" ht="60" customHeight="1" x14ac:dyDescent="0.25">
      <c r="C1" s="15" t="s">
        <v>9</v>
      </c>
      <c r="D1" s="15"/>
      <c r="E1" s="15"/>
      <c r="F1" s="15"/>
      <c r="G1" s="15"/>
      <c r="H1" s="15"/>
      <c r="I1" s="15"/>
      <c r="J1" s="15"/>
      <c r="K1" s="15"/>
      <c r="L1" s="15"/>
      <c r="M1" s="15"/>
      <c r="N1" s="16" t="s">
        <v>10</v>
      </c>
      <c r="O1" s="17"/>
      <c r="P1" s="17"/>
      <c r="Q1" s="17"/>
      <c r="R1" s="17"/>
      <c r="S1" s="17"/>
      <c r="T1" s="14"/>
    </row>
    <row r="2" spans="1:62" s="1" customFormat="1" ht="33.75" customHeight="1" thickBot="1" x14ac:dyDescent="0.3">
      <c r="A2" s="11" t="s">
        <v>8</v>
      </c>
      <c r="B2" s="11" t="str">
        <f>IF('Burndown Chart'!$L$2="","Planned Effort",'Burndown Chart'!$L$2)</f>
        <v>Planned Effort</v>
      </c>
      <c r="C2" s="18">
        <v>43419</v>
      </c>
      <c r="D2" s="18">
        <v>43420</v>
      </c>
      <c r="E2" s="18">
        <v>43421</v>
      </c>
      <c r="F2" s="18">
        <v>43422</v>
      </c>
      <c r="G2" s="18">
        <v>43423</v>
      </c>
      <c r="H2" s="18">
        <v>43424</v>
      </c>
      <c r="I2" s="18">
        <v>43425</v>
      </c>
      <c r="J2" s="18">
        <v>43426</v>
      </c>
      <c r="K2" s="18">
        <v>43427</v>
      </c>
      <c r="L2" s="18">
        <v>43428</v>
      </c>
      <c r="M2" s="18">
        <v>43429</v>
      </c>
      <c r="N2" s="18">
        <v>43430</v>
      </c>
      <c r="O2" s="18">
        <v>43431</v>
      </c>
      <c r="P2" s="19">
        <v>43432</v>
      </c>
      <c r="Q2" s="11"/>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9.25" thickBot="1" x14ac:dyDescent="0.3">
      <c r="A3" s="20" t="s">
        <v>11</v>
      </c>
      <c r="B3">
        <v>30</v>
      </c>
      <c r="C3" s="3">
        <v>30</v>
      </c>
      <c r="D3" s="3">
        <v>25</v>
      </c>
      <c r="E3" s="3">
        <v>20</v>
      </c>
      <c r="F3" s="3">
        <v>20</v>
      </c>
      <c r="G3" s="3">
        <v>15</v>
      </c>
      <c r="H3" s="3">
        <v>10</v>
      </c>
      <c r="I3" s="3">
        <v>5</v>
      </c>
      <c r="J3" s="3">
        <v>0</v>
      </c>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9.25" thickBot="1" x14ac:dyDescent="0.3">
      <c r="A4" s="20" t="s">
        <v>12</v>
      </c>
      <c r="B4">
        <v>30</v>
      </c>
      <c r="C4" s="3">
        <v>30</v>
      </c>
      <c r="D4" s="3">
        <v>25</v>
      </c>
      <c r="E4" s="3">
        <v>25</v>
      </c>
      <c r="F4" s="3">
        <v>25</v>
      </c>
      <c r="G4" s="3">
        <v>20</v>
      </c>
      <c r="H4" s="3">
        <v>15</v>
      </c>
      <c r="I4" s="3">
        <v>10</v>
      </c>
      <c r="J4" s="3">
        <v>10</v>
      </c>
      <c r="K4" s="3">
        <v>10</v>
      </c>
      <c r="L4" s="3">
        <v>5</v>
      </c>
      <c r="M4" s="3">
        <v>0</v>
      </c>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21" t="s">
        <v>13</v>
      </c>
      <c r="B5">
        <v>30</v>
      </c>
      <c r="C5" s="3">
        <v>30</v>
      </c>
      <c r="D5" s="3">
        <v>25</v>
      </c>
      <c r="E5" s="3">
        <v>25</v>
      </c>
      <c r="F5" s="3">
        <v>25</v>
      </c>
      <c r="G5" s="3">
        <v>20</v>
      </c>
      <c r="H5" s="3">
        <v>15</v>
      </c>
      <c r="I5" s="3">
        <v>10</v>
      </c>
      <c r="J5" s="3">
        <v>10</v>
      </c>
      <c r="K5" s="3">
        <v>10</v>
      </c>
      <c r="L5" s="3">
        <v>5</v>
      </c>
      <c r="M5" s="3">
        <v>0</v>
      </c>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9.25" thickBot="1" x14ac:dyDescent="0.3">
      <c r="A6" s="20" t="s">
        <v>14</v>
      </c>
      <c r="B6">
        <v>30</v>
      </c>
      <c r="C6" s="3">
        <v>30</v>
      </c>
      <c r="D6" s="3">
        <v>25</v>
      </c>
      <c r="E6" s="3">
        <v>25</v>
      </c>
      <c r="F6" s="3">
        <v>25</v>
      </c>
      <c r="G6" s="3">
        <v>20</v>
      </c>
      <c r="H6" s="3">
        <v>15</v>
      </c>
      <c r="I6" s="3">
        <v>10</v>
      </c>
      <c r="J6" s="3">
        <v>10</v>
      </c>
      <c r="K6" s="3">
        <v>10</v>
      </c>
      <c r="L6" s="3">
        <v>5</v>
      </c>
      <c r="M6" s="3">
        <v>0</v>
      </c>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15.75" thickBot="1" x14ac:dyDescent="0.3">
      <c r="A7" s="21" t="s">
        <v>15</v>
      </c>
      <c r="B7">
        <v>30</v>
      </c>
      <c r="C7" s="3">
        <v>30</v>
      </c>
      <c r="D7" s="3">
        <v>25</v>
      </c>
      <c r="E7" s="3">
        <v>25</v>
      </c>
      <c r="F7" s="3">
        <v>25</v>
      </c>
      <c r="G7" s="3">
        <v>20</v>
      </c>
      <c r="H7" s="3">
        <v>15</v>
      </c>
      <c r="I7" s="3">
        <v>10</v>
      </c>
      <c r="J7" s="3">
        <v>10</v>
      </c>
      <c r="K7" s="3">
        <v>10</v>
      </c>
      <c r="L7" s="3">
        <v>5</v>
      </c>
      <c r="M7" s="3">
        <v>0</v>
      </c>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43.5" thickBot="1" x14ac:dyDescent="0.3">
      <c r="A8" s="20" t="s">
        <v>16</v>
      </c>
      <c r="B8">
        <v>30</v>
      </c>
      <c r="C8" s="3">
        <v>30</v>
      </c>
      <c r="D8" s="3">
        <v>25</v>
      </c>
      <c r="E8" s="3">
        <v>20</v>
      </c>
      <c r="F8" s="3">
        <v>10</v>
      </c>
      <c r="G8" s="3">
        <v>0</v>
      </c>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ht="29.25" thickBot="1" x14ac:dyDescent="0.3">
      <c r="A9" s="21" t="s">
        <v>17</v>
      </c>
      <c r="B9">
        <v>30</v>
      </c>
      <c r="C9" s="3">
        <v>30</v>
      </c>
      <c r="D9" s="3">
        <v>25</v>
      </c>
      <c r="E9" s="3">
        <v>20</v>
      </c>
      <c r="F9" s="3">
        <v>10</v>
      </c>
      <c r="G9" s="3">
        <v>0</v>
      </c>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29.25" thickBot="1" x14ac:dyDescent="0.3">
      <c r="A10" s="20" t="s">
        <v>18</v>
      </c>
      <c r="B10">
        <v>30</v>
      </c>
      <c r="C10" s="3">
        <v>30</v>
      </c>
      <c r="D10" s="3">
        <v>25</v>
      </c>
      <c r="E10" s="3">
        <v>20</v>
      </c>
      <c r="F10" s="3">
        <v>10</v>
      </c>
      <c r="G10" s="3">
        <v>0</v>
      </c>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ht="29.25" thickBot="1" x14ac:dyDescent="0.3">
      <c r="A11" s="21" t="s">
        <v>19</v>
      </c>
      <c r="B11">
        <v>30</v>
      </c>
      <c r="C11" s="3">
        <v>30</v>
      </c>
      <c r="D11" s="3">
        <v>25</v>
      </c>
      <c r="E11" s="3">
        <v>20</v>
      </c>
      <c r="F11" s="3">
        <v>10</v>
      </c>
      <c r="G11" s="3">
        <v>0</v>
      </c>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ht="29.25" thickBot="1" x14ac:dyDescent="0.3">
      <c r="A12" s="21" t="s">
        <v>20</v>
      </c>
      <c r="B12">
        <v>30</v>
      </c>
      <c r="C12" s="3">
        <v>30</v>
      </c>
      <c r="D12" s="3">
        <v>25</v>
      </c>
      <c r="E12" s="3">
        <v>20</v>
      </c>
      <c r="F12" s="3">
        <v>10</v>
      </c>
      <c r="G12" s="3">
        <v>0</v>
      </c>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ht="29.25" thickBot="1" x14ac:dyDescent="0.3">
      <c r="A13" s="20" t="s">
        <v>21</v>
      </c>
      <c r="B13">
        <v>30</v>
      </c>
      <c r="C13" s="3">
        <v>30</v>
      </c>
      <c r="D13" s="3">
        <v>25</v>
      </c>
      <c r="E13" s="3">
        <v>20</v>
      </c>
      <c r="F13" s="3">
        <v>10</v>
      </c>
      <c r="G13" s="3">
        <v>0</v>
      </c>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ht="29.25" thickBot="1" x14ac:dyDescent="0.3">
      <c r="A14" s="21" t="s">
        <v>22</v>
      </c>
      <c r="B14">
        <v>30</v>
      </c>
      <c r="C14" s="3">
        <v>30</v>
      </c>
      <c r="D14" s="3">
        <v>25</v>
      </c>
      <c r="E14" s="3">
        <v>20</v>
      </c>
      <c r="F14" s="3">
        <v>15</v>
      </c>
      <c r="G14" s="3">
        <v>10</v>
      </c>
      <c r="H14" s="3">
        <v>10</v>
      </c>
      <c r="I14" s="3">
        <v>5</v>
      </c>
      <c r="J14" s="3">
        <v>5</v>
      </c>
      <c r="K14" s="3">
        <v>0</v>
      </c>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29.25" thickBot="1" x14ac:dyDescent="0.3">
      <c r="A15" s="20" t="s">
        <v>23</v>
      </c>
      <c r="B15">
        <v>30</v>
      </c>
      <c r="C15" s="3">
        <v>30</v>
      </c>
      <c r="D15" s="3">
        <v>25</v>
      </c>
      <c r="E15" s="3">
        <v>20</v>
      </c>
      <c r="F15" s="3">
        <v>15</v>
      </c>
      <c r="G15" s="3">
        <v>10</v>
      </c>
      <c r="H15" s="3">
        <v>10</v>
      </c>
      <c r="I15" s="3">
        <v>5</v>
      </c>
      <c r="J15" s="3">
        <v>5</v>
      </c>
      <c r="K15" s="3">
        <v>0</v>
      </c>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29.25" thickBot="1" x14ac:dyDescent="0.3">
      <c r="A16" s="21" t="s">
        <v>24</v>
      </c>
      <c r="B16">
        <v>30</v>
      </c>
      <c r="C16" s="3">
        <v>30</v>
      </c>
      <c r="D16" s="3">
        <v>25</v>
      </c>
      <c r="E16" s="3">
        <v>20</v>
      </c>
      <c r="F16" s="3">
        <v>15</v>
      </c>
      <c r="G16" s="3">
        <v>10</v>
      </c>
      <c r="H16" s="3">
        <v>10</v>
      </c>
      <c r="I16" s="3">
        <v>5</v>
      </c>
      <c r="J16" s="3">
        <v>5</v>
      </c>
      <c r="K16" s="3">
        <v>0</v>
      </c>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29.25" thickBot="1" x14ac:dyDescent="0.3">
      <c r="A17" s="21" t="s">
        <v>25</v>
      </c>
      <c r="B17">
        <v>30</v>
      </c>
      <c r="C17" s="3">
        <v>30</v>
      </c>
      <c r="D17" s="3">
        <v>25</v>
      </c>
      <c r="E17" s="3">
        <v>20</v>
      </c>
      <c r="F17" s="3">
        <v>15</v>
      </c>
      <c r="G17" s="3">
        <v>10</v>
      </c>
      <c r="H17" s="3">
        <v>10</v>
      </c>
      <c r="I17" s="3">
        <v>5</v>
      </c>
      <c r="J17" s="3">
        <v>5</v>
      </c>
      <c r="K17" s="3">
        <v>0</v>
      </c>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29.25" thickBot="1" x14ac:dyDescent="0.3">
      <c r="A18" s="21" t="s">
        <v>26</v>
      </c>
      <c r="B18">
        <v>30</v>
      </c>
      <c r="C18" s="3">
        <v>30</v>
      </c>
      <c r="D18" s="3">
        <v>25</v>
      </c>
      <c r="E18" s="3">
        <v>20</v>
      </c>
      <c r="F18" s="3">
        <v>15</v>
      </c>
      <c r="G18" s="3">
        <v>10</v>
      </c>
      <c r="H18" s="3">
        <v>10</v>
      </c>
      <c r="I18" s="3">
        <v>5</v>
      </c>
      <c r="J18" s="3">
        <v>5</v>
      </c>
      <c r="K18" s="3">
        <v>0</v>
      </c>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29.25" thickBot="1" x14ac:dyDescent="0.3">
      <c r="A19" s="22" t="s">
        <v>27</v>
      </c>
      <c r="B19">
        <v>30</v>
      </c>
      <c r="C19" s="3">
        <v>30</v>
      </c>
      <c r="D19" s="3">
        <v>25</v>
      </c>
      <c r="E19" s="3">
        <v>20</v>
      </c>
      <c r="F19" s="3">
        <v>15</v>
      </c>
      <c r="G19" s="3">
        <v>10</v>
      </c>
      <c r="H19" s="3">
        <v>10</v>
      </c>
      <c r="I19" s="3">
        <v>5</v>
      </c>
      <c r="J19" s="3">
        <v>5</v>
      </c>
      <c r="K19" s="3">
        <v>0</v>
      </c>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29.25" x14ac:dyDescent="0.25">
      <c r="A20" s="10" t="s">
        <v>28</v>
      </c>
      <c r="B20">
        <v>30</v>
      </c>
      <c r="C20" s="3">
        <v>30</v>
      </c>
      <c r="D20" s="3">
        <v>25</v>
      </c>
      <c r="E20" s="3">
        <v>25</v>
      </c>
      <c r="F20" s="3">
        <v>25</v>
      </c>
      <c r="G20" s="3">
        <v>25</v>
      </c>
      <c r="H20" s="3">
        <v>25</v>
      </c>
      <c r="I20" s="3">
        <v>25</v>
      </c>
      <c r="J20" s="3">
        <v>25</v>
      </c>
      <c r="K20" s="3">
        <v>25</v>
      </c>
      <c r="L20" s="3">
        <v>25</v>
      </c>
      <c r="M20" s="3">
        <v>25</v>
      </c>
      <c r="N20" s="3">
        <v>25</v>
      </c>
      <c r="O20" s="3">
        <v>25</v>
      </c>
      <c r="P20" s="3">
        <v>25</v>
      </c>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A24" s="10"/>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A25" s="10"/>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A26" s="1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A27" s="10"/>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A28" s="10"/>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A29" s="10"/>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A30" s="10"/>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Q2:BJ2">
    <cfRule type="expression" dxfId="1" priority="2">
      <formula>AND(Q$2&lt;&gt;"",WEEKDAY(Q$2,2)&gt;5)</formula>
    </cfRule>
  </conditionalFormatting>
  <conditionalFormatting sqref="C2:P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E8:G13 L16:P16 H12:P12 C27:P30 B3:B202 N6:P9 H8:M9 L19:P19" xr:uid="{00000000-0002-0000-0100-000001000000}">
      <formula1>0</formula1>
    </dataValidation>
    <dataValidation type="custom" showInputMessage="1" showErrorMessage="1" errorTitle="Input Error" error="Read the Validations Rules to Input Right Data" sqref="Q3:BJ202 H10:P11 H13:K19 E3:M7 C31:P202 C3:D19 C20:P26 N3:P5 E14:G19 L13:P15 L17:P18"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43419</v>
      </c>
      <c r="D1" s="8">
        <f>IF(Input!D$2="","",Input!D$2)</f>
        <v>43420</v>
      </c>
      <c r="E1" s="8">
        <f>IF(Input!E$2="","",Input!E$2)</f>
        <v>43421</v>
      </c>
      <c r="F1" s="8">
        <f>IF(Input!F$2="","",Input!F$2)</f>
        <v>43422</v>
      </c>
      <c r="G1" s="8">
        <f>IF(Input!G$2="","",Input!G$2)</f>
        <v>43423</v>
      </c>
      <c r="H1" s="8">
        <f>IF(Input!H$2="","",Input!H$2)</f>
        <v>43424</v>
      </c>
      <c r="I1" s="8">
        <f>IF(Input!I$2="","",Input!I$2)</f>
        <v>43425</v>
      </c>
      <c r="J1" s="8">
        <f>IF(Input!J$2="","",Input!J$2)</f>
        <v>43426</v>
      </c>
      <c r="K1" s="8">
        <f>IF(Input!K$2="","",Input!K$2)</f>
        <v>43427</v>
      </c>
      <c r="L1" s="8">
        <f>IF(Input!L$2="","",Input!L$2)</f>
        <v>43428</v>
      </c>
      <c r="M1" s="8">
        <f>IF(Input!M$2="","",Input!M$2)</f>
        <v>43429</v>
      </c>
      <c r="N1" s="8">
        <f>IF(Input!N$2="","",Input!N$2)</f>
        <v>43430</v>
      </c>
      <c r="O1" s="8">
        <f>IF(Input!O$2="","",Input!O$2)</f>
        <v>43431</v>
      </c>
      <c r="P1" s="8">
        <f>IF(Input!P$2="","",Input!P$2)</f>
        <v>43432</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540</v>
      </c>
      <c r="C2" s="4">
        <f t="shared" ref="C2:AH2" si="0">IF(C$1="","",B$2-$B$2/(SUMPRODUCT(--($C$1:$BJ$1&lt;&gt;""))))</f>
        <v>501.42857142857144</v>
      </c>
      <c r="D2" s="4">
        <f t="shared" si="0"/>
        <v>462.85714285714289</v>
      </c>
      <c r="E2" s="4">
        <f t="shared" si="0"/>
        <v>424.28571428571433</v>
      </c>
      <c r="F2" s="4">
        <f t="shared" si="0"/>
        <v>385.71428571428578</v>
      </c>
      <c r="G2" s="4">
        <f t="shared" si="0"/>
        <v>347.14285714285722</v>
      </c>
      <c r="H2" s="4">
        <f t="shared" si="0"/>
        <v>308.57142857142867</v>
      </c>
      <c r="I2" s="4">
        <f t="shared" si="0"/>
        <v>270.00000000000011</v>
      </c>
      <c r="J2" s="4">
        <f t="shared" si="0"/>
        <v>231.42857142857156</v>
      </c>
      <c r="K2" s="4">
        <f t="shared" si="0"/>
        <v>192.857142857143</v>
      </c>
      <c r="L2" s="4">
        <f t="shared" si="0"/>
        <v>154.28571428571445</v>
      </c>
      <c r="M2" s="4">
        <f t="shared" si="0"/>
        <v>115.71428571428588</v>
      </c>
      <c r="N2" s="4">
        <f t="shared" si="0"/>
        <v>77.142857142857309</v>
      </c>
      <c r="O2" s="4">
        <f t="shared" si="0"/>
        <v>38.57142857142874</v>
      </c>
      <c r="P2" s="4">
        <f t="shared" si="0"/>
        <v>1.7053025658242404E-13</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540</v>
      </c>
      <c r="C3" s="4">
        <f>IF(C$1="","",SUM(Input!C$3:C$202))</f>
        <v>540</v>
      </c>
      <c r="D3" s="4">
        <f>IF(D$1="","",SUM(Input!D$3:D$202))</f>
        <v>450</v>
      </c>
      <c r="E3" s="4">
        <f>IF(E$1="","",SUM(Input!E$3:E$202))</f>
        <v>385</v>
      </c>
      <c r="F3" s="4">
        <f>IF(F$1="","",SUM(Input!F$3:F$202))</f>
        <v>295</v>
      </c>
      <c r="G3" s="4">
        <f>IF(G$1="","",SUM(Input!G$3:G$202))</f>
        <v>180</v>
      </c>
      <c r="H3" s="4">
        <f>IF(H$1="","",SUM(Input!H$3:H$202))</f>
        <v>155</v>
      </c>
      <c r="I3" s="4">
        <f>IF(I$1="","",SUM(Input!I$3:I$202))</f>
        <v>100</v>
      </c>
      <c r="J3" s="4">
        <f>IF(J$1="","",SUM(Input!J$3:J$202))</f>
        <v>95</v>
      </c>
      <c r="K3" s="4">
        <f>IF(K$1="","",SUM(Input!K$3:K$202))</f>
        <v>65</v>
      </c>
      <c r="L3" s="4">
        <f>IF(L$1="","",SUM(Input!L$3:L$202))</f>
        <v>45</v>
      </c>
      <c r="M3" s="4">
        <f>IF(M$1="","",SUM(Input!M$3:M$202))</f>
        <v>25</v>
      </c>
      <c r="N3" s="4">
        <f>IF(N$1="","",SUM(Input!N$3:N$202))</f>
        <v>25</v>
      </c>
      <c r="O3" s="4">
        <f>IF(O$1="","",SUM(Input!O$3:O$202))</f>
        <v>25</v>
      </c>
      <c r="P3" s="4">
        <f>IF(P$1="","",SUM(Input!P$3:P$202))</f>
        <v>25</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18</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2018-12-08T03:21:55Z</dcterms:modified>
</cp:coreProperties>
</file>