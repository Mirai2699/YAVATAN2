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3BE0F745-F122-4D4F-BCB9-FE61D3656F61}"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M4" i="4"/>
  <c r="P4" i="4"/>
  <c r="L4" i="4"/>
  <c r="F4" i="4"/>
  <c r="K4" i="4"/>
  <c r="G4" i="4"/>
  <c r="N4" i="4"/>
  <c r="D4" i="4"/>
  <c r="C4" i="4"/>
  <c r="J4" i="4"/>
  <c r="E4" i="4"/>
  <c r="O4" i="4"/>
  <c r="I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<sst xmlns="http://schemas.openxmlformats.org/spreadsheetml/2006/main" count="17" uniqueCount="17">
  <si>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</si>
  <si>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</si>
  <si>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</si>
  <si>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</si>
  <si>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</si>
  <si>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</si>
  <si>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</si>
  <si>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</si>
  <si>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</si>
  <si>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</si>
  <si>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</si>
  <si>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product owner, I want to have a login page so that only the authorized individuals can access the system</t>
  </si>
  <si>
    <t>As a product owner, I want to restrict my users from accessing information beyond their role to avoid any disclosure of sensitive data</t>
  </si>
  <si>
    <t>As a product, I want to verify that the user has an access only to the resources/page which they are authorized to use.</t>
  </si>
  <si>
    <t>As a product owner, I want to ensure that no sensitive information is exposed through error messages.</t>
  </si>
  <si>
    <t>As a system administrator, I can change the details of the accounts, with permission from the user.</t>
  </si>
  <si>
    <t>As a product owner, I want that the usernames be unique for every user to avoid duplication of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</si>
</sst>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d/yy;@"/>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1"/>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2">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166" fontId="7"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6" fillId="0" borderId="1" xfId="0" applyFont="1" applyBorder="1" applyAlignment="1">
      <alignment vertical="center" wrapText="1"/>
    </xf>
    <xf numFmtId="0" fontId="6" fillId="0" borderId="2" xfId="0" applyFont="1" applyBorder="1" applyAlignment="1">
      <alignment vertical="center" wrapText="1"/>
    </xf>
    <xf numFmtId="0" fontId="8" fillId="0" borderId="0" xfId="0" applyFont="1" applyAlignment="1">
      <alignment wrapText="1"/>
    </xf>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Information Security)</a:t>
            </a:r>
            <a:endParaRPr lang="en-US" sz="1100" b="1"/>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90</c:v>
                </c:pt>
                <c:pt idx="1">
                  <c:v>60</c:v>
                </c:pt>
                <c:pt idx="2">
                  <c:v>30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b="1" baseline="0"/>
              <a:t>(Sprint 1 - Information Security)</a:t>
            </a:r>
            <a:endParaRPr lang="en-US" b="1"/>
          </a:p>
        </c:rich>
      </c:tx>
      <c:layout>
        <c:manualLayout>
          <c:xMode val="edge"/>
          <c:yMode val="edge"/>
          <c:x val="0.55774670689528283"/>
          <c:y val="4.95137046861184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8.1240626103875807E-2"/>
          <c:y val="0.17857655061021882"/>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90</c:v>
                </c:pt>
                <c:pt idx="1">
                  <c:v>60</c:v>
                </c:pt>
                <c:pt idx="2">
                  <c:v>30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Information Security)</a:t>
            </a:r>
            <a:endParaRPr lang="en-US" sz="10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90</c:v>
                </c:pt>
                <c:pt idx="1">
                  <c:v>60</c:v>
                </c:pt>
                <c:pt idx="2">
                  <c:v>30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AE7-4A4B-A4EC-7C9B6CD57C9B}"/>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1-0AE7-4A4B-A4EC-7C9B6CD57C9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Information Security)</a:t>
            </a:r>
            <a:endParaRPr lang="en-US" sz="1100" b="1"/>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extLst>
            <c:ext xmlns:c16="http://schemas.microsoft.com/office/drawing/2014/chart" uri="{C3380CC4-5D6E-409C-BE32-E72D297353CC}">
              <c16:uniqueId val="{00000000-E31C-4623-BD66-69EF3FD680B2}"/>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90</c:v>
                </c:pt>
                <c:pt idx="1">
                  <c:v>60</c:v>
                </c:pt>
                <c:pt idx="2">
                  <c:v>30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E31C-4623-BD66-69EF3FD680B2}"/>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19916</xdr:rowOff>
    </xdr:from>
    <xdr:to>
      <xdr:col>10</xdr:col>
      <xdr:colOff>0</xdr:colOff>
      <xdr:row>21</xdr:row>
      <xdr:rowOff>181841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23</xdr:row>
      <xdr:rowOff>6062</xdr:rowOff>
    </xdr:from>
    <xdr:to>
      <xdr:col>9</xdr:col>
      <xdr:colOff>588818</xdr:colOff>
      <xdr:row>41</xdr:row>
      <xdr:rowOff>167987</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17319</xdr:colOff>
      <xdr:row>3</xdr:row>
      <xdr:rowOff>17318</xdr:rowOff>
    </xdr:from>
    <xdr:to>
      <xdr:col>19</xdr:col>
      <xdr:colOff>336669</xdr:colOff>
      <xdr:row>21</xdr:row>
      <xdr:rowOff>179243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32287</xdr:colOff>
      <xdr:row>23</xdr:row>
      <xdr:rowOff>17319</xdr:rowOff>
    </xdr:from>
    <xdr:to>
      <xdr:col>19</xdr:col>
      <xdr:colOff>346362</xdr:colOff>
      <xdr:row>42</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16" zoomScale="55" zoomScaleNormal="55" workbookViewId="0">
      <selection activeCell="V19" sqref="V19"/>
    </sheetView>
  </sheetViews>
  <sheetFormatPr defaultRowHeight="15" x14ac:dyDescent="0.25"/>
  <cols>
    <col min="11" max="11" width="2.5703125" customWidth="1"/>
    <col min="12" max="12" width="20.85546875" bestFit="1" customWidth="1"/>
  </cols>
  <sheetData>
    <row r="1" spans="4:12" x14ac:dyDescent="0.25">
      <c r="D1" s="13" t="s">
        <v>4</v>
      </c>
      <c r="E1" s="14"/>
      <c r="F1" s="14"/>
      <c r="G1" s="14"/>
      <c r="H1" s="14"/>
      <c r="I1" s="14"/>
      <c r="J1" s="15"/>
      <c r="L1" s="9" t="s">
        <v>7</v>
      </c>
    </row>
    <row r="2" spans="4:12" x14ac:dyDescent="0.25">
      <c r="D2" s="14"/>
      <c r="E2" s="14"/>
      <c r="F2" s="14"/>
      <c r="G2" s="14"/>
      <c r="H2" s="14"/>
      <c r="I2" s="14"/>
      <c r="J2" s="15"/>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85" zoomScaleNormal="85" workbookViewId="0">
      <pane ySplit="2" topLeftCell="A3" activePane="bottomLeft" state="frozen"/>
      <selection pane="bottomLeft" activeCell="H4" sqref="H4"/>
    </sheetView>
  </sheetViews>
  <sheetFormatPr defaultColWidth="0" defaultRowHeight="15" zeroHeight="1" x14ac:dyDescent="0.25"/>
  <cols>
    <col min="1" max="1" width="51.7109375" customWidth="1"/>
    <col min="2" max="2" width="13.85546875" customWidth="1"/>
    <col min="3" max="11" width="9.140625" customWidth="1"/>
    <col min="12" max="12" width="12.85546875" customWidth="1"/>
    <col min="13" max="13" width="11.28515625" customWidth="1"/>
    <col min="14" max="15" width="13.140625" customWidth="1"/>
    <col min="16" max="16" width="10.42578125" customWidth="1"/>
    <col min="17" max="62" width="9.140625" customWidth="1"/>
    <col min="63" max="16384" width="9.140625" hidden="1"/>
  </cols>
  <sheetData>
    <row r="1" spans="1:62" ht="49.5" customHeight="1" x14ac:dyDescent="0.25">
      <c r="C1" s="16" t="s">
        <v>9</v>
      </c>
      <c r="D1" s="16"/>
      <c r="E1" s="16"/>
      <c r="F1" s="16"/>
      <c r="G1" s="16"/>
      <c r="H1" s="16"/>
      <c r="I1" s="16"/>
      <c r="J1" s="16"/>
      <c r="K1" s="16"/>
      <c r="L1" s="16"/>
      <c r="M1" s="16"/>
      <c r="N1" s="17" t="s">
        <v>10</v>
      </c>
      <c r="O1" s="18"/>
      <c r="P1" s="18"/>
      <c r="Q1" s="18"/>
      <c r="R1" s="18"/>
      <c r="S1" s="18"/>
      <c r="T1" s="15"/>
    </row>
    <row r="2" spans="1:62" s="1" customFormat="1" ht="40.5" customHeight="1" x14ac:dyDescent="0.25">
      <c r="A2" s="11" t="s">
        <v>8</v>
      </c>
      <c r="B2" s="11" t="str">
        <f>IF('Burndown Chart'!$L$2="","Planned Effort",'Burndown Chart'!$L$2)</f>
        <v>Planned Effort</v>
      </c>
      <c r="C2" s="12">
        <v>43405</v>
      </c>
      <c r="D2" s="12">
        <v>43406</v>
      </c>
      <c r="E2" s="12">
        <v>43407</v>
      </c>
      <c r="F2" s="12">
        <v>43408</v>
      </c>
      <c r="G2" s="12">
        <v>43409</v>
      </c>
      <c r="H2" s="12">
        <v>43410</v>
      </c>
      <c r="I2" s="12">
        <v>43411</v>
      </c>
      <c r="J2" s="12">
        <v>43412</v>
      </c>
      <c r="K2" s="12">
        <v>43413</v>
      </c>
      <c r="L2" s="12">
        <v>43414</v>
      </c>
      <c r="M2" s="12">
        <v>43415</v>
      </c>
      <c r="N2" s="12">
        <v>43416</v>
      </c>
      <c r="O2" s="12">
        <v>43417</v>
      </c>
      <c r="P2" s="12">
        <v>43418</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30" thickBot="1" x14ac:dyDescent="0.3">
      <c r="A3" s="21" t="s">
        <v>15</v>
      </c>
      <c r="B3">
        <v>15</v>
      </c>
      <c r="C3" s="3">
        <v>10</v>
      </c>
      <c r="D3" s="3">
        <v>5</v>
      </c>
      <c r="E3" s="3">
        <v>0</v>
      </c>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43.5" thickBot="1" x14ac:dyDescent="0.3">
      <c r="A4" s="19" t="s">
        <v>11</v>
      </c>
      <c r="B4">
        <v>15</v>
      </c>
      <c r="C4" s="3">
        <v>10</v>
      </c>
      <c r="D4" s="3">
        <v>5</v>
      </c>
      <c r="E4" s="3">
        <v>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19" t="s">
        <v>16</v>
      </c>
      <c r="B5">
        <v>15</v>
      </c>
      <c r="C5" s="3">
        <v>10</v>
      </c>
      <c r="D5" s="3">
        <v>5</v>
      </c>
      <c r="E5" s="3">
        <v>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43.5" thickBot="1" x14ac:dyDescent="0.3">
      <c r="A6" s="19" t="s">
        <v>12</v>
      </c>
      <c r="B6">
        <v>15</v>
      </c>
      <c r="C6" s="3">
        <v>10</v>
      </c>
      <c r="D6" s="3">
        <v>5</v>
      </c>
      <c r="E6" s="3">
        <v>0</v>
      </c>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43.5" thickBot="1" x14ac:dyDescent="0.3">
      <c r="A7" s="20" t="s">
        <v>13</v>
      </c>
      <c r="B7">
        <v>15</v>
      </c>
      <c r="C7" s="3">
        <v>10</v>
      </c>
      <c r="D7" s="3">
        <v>5</v>
      </c>
      <c r="E7" s="3">
        <v>0</v>
      </c>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43.5" x14ac:dyDescent="0.25">
      <c r="A8" s="10" t="s">
        <v>14</v>
      </c>
      <c r="B8">
        <v>15</v>
      </c>
      <c r="C8" s="3">
        <v>10</v>
      </c>
      <c r="D8" s="3">
        <v>5</v>
      </c>
      <c r="E8" s="3">
        <v>0</v>
      </c>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s="10"/>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A10" s="10"/>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s="10"/>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s="10"/>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Q2:BJ2">
    <cfRule type="expression" dxfId="1" priority="2">
      <formula>AND(Q$2&lt;&gt;"",WEEKDAY(Q$2,2)&gt;5)</formula>
    </cfRule>
  </conditionalFormatting>
  <conditionalFormatting sqref="C2:P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10:P11" xr:uid="{00000000-0002-0000-0100-000001000000}">
      <formula1>0</formula1>
    </dataValidation>
    <dataValidation type="custom" showInputMessage="1" showErrorMessage="1" errorTitle="Input Error" error="Read the Validations Rules to Input Right Data" sqref="Q3:BJ202 C3:P9 C12:P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90</v>
      </c>
      <c r="C2" s="4">
        <f t="shared" ref="C2:AH2" si="0">IF(C$1="","",B$2-$B$2/(SUMPRODUCT(--($C$1:$BJ$1&lt;&gt;""))))</f>
        <v>83.571428571428569</v>
      </c>
      <c r="D2" s="4">
        <f t="shared" si="0"/>
        <v>77.142857142857139</v>
      </c>
      <c r="E2" s="4">
        <f t="shared" si="0"/>
        <v>70.714285714285708</v>
      </c>
      <c r="F2" s="4">
        <f t="shared" si="0"/>
        <v>64.285714285714278</v>
      </c>
      <c r="G2" s="4">
        <f t="shared" si="0"/>
        <v>57.857142857142847</v>
      </c>
      <c r="H2" s="4">
        <f t="shared" si="0"/>
        <v>51.428571428571416</v>
      </c>
      <c r="I2" s="4">
        <f t="shared" si="0"/>
        <v>44.999999999999986</v>
      </c>
      <c r="J2" s="4">
        <f t="shared" si="0"/>
        <v>38.571428571428555</v>
      </c>
      <c r="K2" s="4">
        <f t="shared" si="0"/>
        <v>32.142857142857125</v>
      </c>
      <c r="L2" s="4">
        <f t="shared" si="0"/>
        <v>25.714285714285694</v>
      </c>
      <c r="M2" s="4">
        <f t="shared" si="0"/>
        <v>19.285714285714263</v>
      </c>
      <c r="N2" s="4">
        <f t="shared" si="0"/>
        <v>12.857142857142835</v>
      </c>
      <c r="O2" s="4">
        <f t="shared" si="0"/>
        <v>6.4285714285714057</v>
      </c>
      <c r="P2" s="4">
        <f t="shared" si="0"/>
        <v>-2.3092638912203256E-14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90</v>
      </c>
      <c r="C3" s="4">
        <f>IF(C$1="","",SUM(Input!C$3:C$202))</f>
        <v>60</v>
      </c>
      <c r="D3" s="4">
        <f>IF(D$1="","",SUM(Input!D$3:D$202))</f>
        <v>30</v>
      </c>
      <c r="E3" s="4">
        <f>IF(E$1="","",SUM(Input!E$3:E$202))</f>
        <v>0</v>
      </c>
      <c r="F3" s="4">
        <f>IF(F$1="","",SUM(Input!F$3:F$202))</f>
        <v>0</v>
      </c>
      <c r="G3" s="4">
        <f>IF(G$1="","",SUM(Input!G$3:G$202))</f>
        <v>0</v>
      </c>
      <c r="H3" s="4">
        <f>IF(H$1="","",SUM(Input!H$3:H$202))</f>
        <v>0</v>
      </c>
      <c r="I3" s="4">
        <f>IF(I$1="","",SUM(Input!I$3:I$202))</f>
        <v>0</v>
      </c>
      <c r="J3" s="4">
        <f>IF(J$1="","",SUM(Input!J$3:J$202))</f>
        <v>0</v>
      </c>
      <c r="K3" s="4">
        <f>IF(K$1="","",SUM(Input!K$3:K$202))</f>
        <v>0</v>
      </c>
      <c r="L3" s="4">
        <f>IF(L$1="","",SUM(Input!L$3:L$202))</f>
        <v>0</v>
      </c>
      <c r="M3" s="4">
        <f>IF(M$1="","",SUM(Input!M$3:M$202))</f>
        <v>0</v>
      </c>
      <c r="N3" s="4">
        <f>IF(N$1="","",SUM(Input!N$3:N$202))</f>
        <v>0</v>
      </c>
      <c r="O3" s="4">
        <f>IF(O$1="","",SUM(Input!O$3:O$202))</f>
        <v>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6</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2018-12-08T02:08:56Z</dcterms:modified>
</cp:coreProperties>
</file>