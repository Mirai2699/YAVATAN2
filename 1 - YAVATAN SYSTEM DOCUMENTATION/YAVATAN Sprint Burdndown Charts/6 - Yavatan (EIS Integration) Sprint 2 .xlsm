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3D1A710C-6663-3D7B-7F91-EC182F24A4BC}"/>
  <workbookPr codeName="ThisWorkbook"/>
  <mc:AlternateContent xmlns:mc="http://schemas.openxmlformats.org/markup-compatibility/2006">
    <mc:Choice Requires="x15">
      <x15ac:absPath xmlns:x15ac="http://schemas.microsoft.com/office/spreadsheetml/2010/11/ac" url="D:\2 - PENDING\1 - YAVATAN SYSTEM DOCUMENTATION\YAVATAN Sprint Burdndown Charts\"/>
    </mc:Choice>
  </mc:AlternateContent>
  <xr:revisionPtr revIDLastSave="0" documentId="13_ncr:1_{7A69EB9C-F58B-4ECF-956C-B1B5F50E3839}" xr6:coauthVersionLast="40" xr6:coauthVersionMax="40" xr10:uidLastSave="{00000000-0000-0000-0000-000000000000}"/>
  <workbookProtection workbookPassword="B126" lockStructure="1"/>
  <bookViews>
    <workbookView xWindow="0" yWindow="0" windowWidth="19200" windowHeight="6945"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R4" i="4"/>
  <c r="Q4" i="4"/>
  <c r="H4" i="4"/>
  <c r="F4" i="4"/>
  <c r="J4" i="4"/>
  <c r="L4" i="4"/>
  <c r="I4" i="4"/>
  <c r="P4" i="4"/>
  <c r="O4" i="4"/>
  <c r="G4" i="4"/>
  <c r="M4" i="4"/>
  <c r="N4" i="4"/>
  <c r="E4" i="4"/>
  <c r="D4" i="4"/>
  <c r="C4" i="4"/>
  <c r="K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<sst xmlns="http://schemas.openxmlformats.org/spreadsheetml/2006/main" count="15" uniqueCount="15">
  <si>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</si>
  <si>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</si>
  <si>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</si>
  <si>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</si>
  <si>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</si>
  <si>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</si>
  <si>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</si>
  <si>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</si>
  <si>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</si>
  <si>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</si>
  <si>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</si>
  <si>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group leader, the attendance I added to a particular event must match with the attendance added by the volunteer to that said event.</t>
  </si>
  <si>
    <t xml:space="preserve">As a volunteer, I want my activities to the system to be reflected to the group leader’s account. </t>
  </si>
  <si>
    <t xml:space="preserve">As a group leader, the details I changed for the group must reflect to the volunteer’s user account module. </t>
  </si>
  <si>
    <t>As a system administrator, the data I mine must reflect to the dashboard analytics of the group leader.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</si>
</sst>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6" formatCode="mm/dd/yy;@"/>
  </numFmts>
  <fonts count="10"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2"/>
      <color theme="1"/>
      <name val="Arial"/>
      <family val="2"/>
    </font>
    <font>
      <sz val="11"/>
      <color theme="1"/>
      <name val="Arial"/>
      <family val="2"/>
    </font>
    <font>
      <b/>
      <sz val="12"/>
      <color theme="1"/>
      <name val="Calibri"/>
      <family val="2"/>
      <scheme val="minor"/>
    </font>
    <font>
      <sz val="11"/>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25">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0" fontId="7" fillId="0" borderId="0" xfId="0" applyFont="1" applyAlignment="1">
      <alignment wrapText="1"/>
    </xf>
    <xf numFmtId="164" fontId="8" fillId="0" borderId="0" xfId="0" applyNumberFormat="1" applyFont="1" applyAlignment="1">
      <alignment wrapText="1"/>
    </xf>
    <xf numFmtId="2" fontId="8" fillId="0" borderId="0" xfId="0" applyNumberFormat="1" applyFont="1" applyAlignment="1">
      <alignment wrapText="1"/>
    </xf>
    <xf numFmtId="2" fontId="0" fillId="0" borderId="0" xfId="0" applyNumberFormat="1" applyAlignment="1">
      <alignment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0" fontId="9" fillId="0" borderId="1" xfId="0" applyFont="1" applyBorder="1" applyAlignment="1">
      <alignment vertical="center" wrapText="1"/>
    </xf>
    <xf numFmtId="0" fontId="9" fillId="0" borderId="2" xfId="0" applyFont="1" applyBorder="1" applyAlignment="1">
      <alignment vertical="center" wrapText="1"/>
    </xf>
    <xf numFmtId="166" fontId="8" fillId="0" borderId="0" xfId="0" applyNumberFormat="1" applyFont="1" applyAlignment="1"/>
    <xf numFmtId="14" fontId="8" fillId="0" borderId="0" xfId="0" applyNumberFormat="1" applyFont="1" applyAlignment="1"/>
  </cellXfs>
  <cellStyles count="1">
    <cellStyle name="Normal" xfId="0" builtinId="0"/>
  </cellStyles>
  <dxfs count="2">
    <dxf>
      <fill>
        <patternFill>
          <bgColor rgb="FFFFC000"/>
        </patternFill>
      </fill>
    </dxf>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 DCMS System</a:t>
            </a:r>
          </a:p>
          <a:p>
            <a:pPr>
              <a:defRPr/>
            </a:pPr>
            <a:r>
              <a:rPr lang="en-US" b="1"/>
              <a:t>(Sprint 2 - Integration)</a:t>
            </a:r>
          </a:p>
        </c:rich>
      </c:tx>
      <c:layout>
        <c:manualLayout>
          <c:xMode val="edge"/>
          <c:yMode val="edge"/>
          <c:x val="0.5680684540600649"/>
          <c:y val="4.244031830238726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[0]!PlannedE</c:f>
              <c:numCache>
                <c:formatCode>0</c:formatCode>
                <c:ptCount val="15"/>
                <c:pt idx="0">
                  <c:v>160</c:v>
                </c:pt>
                <c:pt idx="1">
                  <c:v>148.57142857142858</c:v>
                </c:pt>
                <c:pt idx="2">
                  <c:v>137.14285714285717</c:v>
                </c:pt>
                <c:pt idx="3">
                  <c:v>125.71428571428574</c:v>
                </c:pt>
                <c:pt idx="4">
                  <c:v>114.28571428571431</c:v>
                </c:pt>
                <c:pt idx="5">
                  <c:v>102.85714285714288</c:v>
                </c:pt>
                <c:pt idx="6">
                  <c:v>91.428571428571445</c:v>
                </c:pt>
                <c:pt idx="7">
                  <c:v>80.000000000000014</c:v>
                </c:pt>
                <c:pt idx="8">
                  <c:v>68.571428571428584</c:v>
                </c:pt>
                <c:pt idx="9">
                  <c:v>57.142857142857153</c:v>
                </c:pt>
                <c:pt idx="10">
                  <c:v>45.714285714285722</c:v>
                </c:pt>
                <c:pt idx="11">
                  <c:v>34.285714285714292</c:v>
                </c:pt>
                <c:pt idx="12">
                  <c:v>22.857142857142861</c:v>
                </c:pt>
                <c:pt idx="13">
                  <c:v>11.428571428571432</c:v>
                </c:pt>
                <c:pt idx="14">
                  <c:v>3.5527136788005009E-15</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[0]!HoursR</c:f>
              <c:numCache>
                <c:formatCode>0</c:formatCode>
                <c:ptCount val="15"/>
                <c:pt idx="0">
                  <c:v>160</c:v>
                </c:pt>
                <c:pt idx="1">
                  <c:v>160</c:v>
                </c:pt>
                <c:pt idx="2">
                  <c:v>120</c:v>
                </c:pt>
                <c:pt idx="3">
                  <c:v>100</c:v>
                </c:pt>
                <c:pt idx="4">
                  <c:v>65</c:v>
                </c:pt>
                <c:pt idx="5">
                  <c:v>40</c:v>
                </c:pt>
                <c:pt idx="6">
                  <c:v>15</c:v>
                </c:pt>
                <c:pt idx="7">
                  <c:v>10</c:v>
                </c:pt>
                <c:pt idx="8">
                  <c:v>5</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 Integration)</a:t>
            </a:r>
            <a:endParaRPr lang="en-US" sz="1100">
              <a:effectLst/>
            </a:endParaRPr>
          </a:p>
        </c:rich>
      </c:tx>
      <c:layout>
        <c:manualLayout>
          <c:xMode val="edge"/>
          <c:yMode val="edge"/>
          <c:x val="0.57020776608531398"/>
          <c:y val="3.536693191865605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6.7154323239029229E-2"/>
          <c:y val="0.20333340295327806"/>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[0]!HoursR</c:f>
              <c:numCache>
                <c:formatCode>0</c:formatCode>
                <c:ptCount val="15"/>
                <c:pt idx="0">
                  <c:v>160</c:v>
                </c:pt>
                <c:pt idx="1">
                  <c:v>160</c:v>
                </c:pt>
                <c:pt idx="2">
                  <c:v>120</c:v>
                </c:pt>
                <c:pt idx="3">
                  <c:v>100</c:v>
                </c:pt>
                <c:pt idx="4">
                  <c:v>65</c:v>
                </c:pt>
                <c:pt idx="5">
                  <c:v>40</c:v>
                </c:pt>
                <c:pt idx="6">
                  <c:v>15</c:v>
                </c:pt>
                <c:pt idx="7">
                  <c:v>10</c:v>
                </c:pt>
                <c:pt idx="8">
                  <c:v>5</c:v>
                </c:pt>
                <c:pt idx="9">
                  <c:v>0</c:v>
                </c:pt>
                <c:pt idx="10">
                  <c:v>0</c:v>
                </c:pt>
                <c:pt idx="11">
                  <c:v>0</c:v>
                </c:pt>
                <c:pt idx="12">
                  <c:v>0</c:v>
                </c:pt>
                <c:pt idx="13">
                  <c:v>0</c:v>
                </c:pt>
                <c:pt idx="14">
                  <c:v>0</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[0]!PlannedE</c:f>
              <c:numCache>
                <c:formatCode>0</c:formatCode>
                <c:ptCount val="15"/>
                <c:pt idx="0">
                  <c:v>160</c:v>
                </c:pt>
                <c:pt idx="1">
                  <c:v>148.57142857142858</c:v>
                </c:pt>
                <c:pt idx="2">
                  <c:v>137.14285714285717</c:v>
                </c:pt>
                <c:pt idx="3">
                  <c:v>125.71428571428574</c:v>
                </c:pt>
                <c:pt idx="4">
                  <c:v>114.28571428571431</c:v>
                </c:pt>
                <c:pt idx="5">
                  <c:v>102.85714285714288</c:v>
                </c:pt>
                <c:pt idx="6">
                  <c:v>91.428571428571445</c:v>
                </c:pt>
                <c:pt idx="7">
                  <c:v>80.000000000000014</c:v>
                </c:pt>
                <c:pt idx="8">
                  <c:v>68.571428571428584</c:v>
                </c:pt>
                <c:pt idx="9">
                  <c:v>57.142857142857153</c:v>
                </c:pt>
                <c:pt idx="10">
                  <c:v>45.714285714285722</c:v>
                </c:pt>
                <c:pt idx="11">
                  <c:v>34.285714285714292</c:v>
                </c:pt>
                <c:pt idx="12">
                  <c:v>22.857142857142861</c:v>
                </c:pt>
                <c:pt idx="13">
                  <c:v>11.428571428571432</c:v>
                </c:pt>
                <c:pt idx="14">
                  <c:v>3.5527136788005009E-15</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 Integration)</a:t>
            </a:r>
            <a:endParaRPr lang="en-US" sz="1100">
              <a:effectLst/>
            </a:endParaRPr>
          </a:p>
        </c:rich>
      </c:tx>
      <c:layout>
        <c:manualLayout>
          <c:xMode val="edge"/>
          <c:yMode val="edge"/>
          <c:x val="0.27860050299133798"/>
          <c:y val="2.475685234305924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Data'!$B$3:$P$3</c:f>
              <c:numCache>
                <c:formatCode>0</c:formatCode>
                <c:ptCount val="15"/>
                <c:pt idx="0">
                  <c:v>160</c:v>
                </c:pt>
                <c:pt idx="1">
                  <c:v>160</c:v>
                </c:pt>
                <c:pt idx="2">
                  <c:v>120</c:v>
                </c:pt>
                <c:pt idx="3">
                  <c:v>100</c:v>
                </c:pt>
                <c:pt idx="4">
                  <c:v>65</c:v>
                </c:pt>
                <c:pt idx="5">
                  <c:v>40</c:v>
                </c:pt>
                <c:pt idx="6">
                  <c:v>15</c:v>
                </c:pt>
                <c:pt idx="7">
                  <c:v>10</c:v>
                </c:pt>
                <c:pt idx="8">
                  <c:v>5</c:v>
                </c:pt>
                <c:pt idx="9">
                  <c:v>0</c:v>
                </c:pt>
                <c:pt idx="10">
                  <c:v>0</c:v>
                </c:pt>
                <c:pt idx="11">
                  <c:v>0</c:v>
                </c:pt>
                <c:pt idx="12">
                  <c:v>0</c:v>
                </c:pt>
                <c:pt idx="13">
                  <c:v>0</c:v>
                </c:pt>
                <c:pt idx="14">
                  <c:v>0</c:v>
                </c:pt>
              </c:numCache>
            </c:numRef>
          </c:val>
          <c:extLst>
            <c:ext xmlns:c16="http://schemas.microsoft.com/office/drawing/2014/chart" uri="{C3380CC4-5D6E-409C-BE32-E72D297353CC}">
              <c16:uniqueId val="{00000000-5A35-41C2-80D7-E19A3EE9CDB4}"/>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Data'!$B$2:$P$2</c:f>
              <c:numCache>
                <c:formatCode>0</c:formatCode>
                <c:ptCount val="15"/>
                <c:pt idx="0">
                  <c:v>160</c:v>
                </c:pt>
                <c:pt idx="1">
                  <c:v>148.57142857142858</c:v>
                </c:pt>
                <c:pt idx="2">
                  <c:v>137.14285714285717</c:v>
                </c:pt>
                <c:pt idx="3">
                  <c:v>125.71428571428574</c:v>
                </c:pt>
                <c:pt idx="4">
                  <c:v>114.28571428571431</c:v>
                </c:pt>
                <c:pt idx="5">
                  <c:v>102.85714285714288</c:v>
                </c:pt>
                <c:pt idx="6">
                  <c:v>91.428571428571445</c:v>
                </c:pt>
                <c:pt idx="7">
                  <c:v>80.000000000000014</c:v>
                </c:pt>
                <c:pt idx="8">
                  <c:v>68.571428571428584</c:v>
                </c:pt>
                <c:pt idx="9">
                  <c:v>57.142857142857153</c:v>
                </c:pt>
                <c:pt idx="10">
                  <c:v>45.714285714285722</c:v>
                </c:pt>
                <c:pt idx="11">
                  <c:v>34.285714285714292</c:v>
                </c:pt>
                <c:pt idx="12">
                  <c:v>22.857142857142861</c:v>
                </c:pt>
                <c:pt idx="13">
                  <c:v>11.428571428571432</c:v>
                </c:pt>
                <c:pt idx="14">
                  <c:v>3.5527136788005009E-15</c:v>
                </c:pt>
              </c:numCache>
            </c:numRef>
          </c:val>
          <c:smooth val="0"/>
          <c:extLst>
            <c:ext xmlns:c16="http://schemas.microsoft.com/office/drawing/2014/chart" uri="{C3380CC4-5D6E-409C-BE32-E72D297353CC}">
              <c16:uniqueId val="{00000001-5A35-41C2-80D7-E19A3EE9CDB4}"/>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 Integration)</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Data'!$B$2:$P$2</c:f>
              <c:numCache>
                <c:formatCode>0</c:formatCode>
                <c:ptCount val="15"/>
                <c:pt idx="0">
                  <c:v>160</c:v>
                </c:pt>
                <c:pt idx="1">
                  <c:v>148.57142857142858</c:v>
                </c:pt>
                <c:pt idx="2">
                  <c:v>137.14285714285717</c:v>
                </c:pt>
                <c:pt idx="3">
                  <c:v>125.71428571428574</c:v>
                </c:pt>
                <c:pt idx="4">
                  <c:v>114.28571428571431</c:v>
                </c:pt>
                <c:pt idx="5">
                  <c:v>102.85714285714288</c:v>
                </c:pt>
                <c:pt idx="6">
                  <c:v>91.428571428571445</c:v>
                </c:pt>
                <c:pt idx="7">
                  <c:v>80.000000000000014</c:v>
                </c:pt>
                <c:pt idx="8">
                  <c:v>68.571428571428584</c:v>
                </c:pt>
                <c:pt idx="9">
                  <c:v>57.142857142857153</c:v>
                </c:pt>
                <c:pt idx="10">
                  <c:v>45.714285714285722</c:v>
                </c:pt>
                <c:pt idx="11">
                  <c:v>34.285714285714292</c:v>
                </c:pt>
                <c:pt idx="12">
                  <c:v>22.857142857142861</c:v>
                </c:pt>
                <c:pt idx="13">
                  <c:v>11.428571428571432</c:v>
                </c:pt>
                <c:pt idx="14">
                  <c:v>3.5527136788005009E-15</c:v>
                </c:pt>
              </c:numCache>
            </c:numRef>
          </c:val>
          <c:extLst>
            <c:ext xmlns:c16="http://schemas.microsoft.com/office/drawing/2014/chart" uri="{C3380CC4-5D6E-409C-BE32-E72D297353CC}">
              <c16:uniqueId val="{00000000-9E66-4A07-9AEF-5B86040F16AB}"/>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Data'!$B$3:$P$3</c:f>
              <c:numCache>
                <c:formatCode>0</c:formatCode>
                <c:ptCount val="15"/>
                <c:pt idx="0">
                  <c:v>160</c:v>
                </c:pt>
                <c:pt idx="1">
                  <c:v>160</c:v>
                </c:pt>
                <c:pt idx="2">
                  <c:v>120</c:v>
                </c:pt>
                <c:pt idx="3">
                  <c:v>100</c:v>
                </c:pt>
                <c:pt idx="4">
                  <c:v>65</c:v>
                </c:pt>
                <c:pt idx="5">
                  <c:v>40</c:v>
                </c:pt>
                <c:pt idx="6">
                  <c:v>15</c:v>
                </c:pt>
                <c:pt idx="7">
                  <c:v>10</c:v>
                </c:pt>
                <c:pt idx="8">
                  <c:v>5</c:v>
                </c:pt>
                <c:pt idx="9">
                  <c:v>0</c:v>
                </c:pt>
                <c:pt idx="10">
                  <c:v>0</c:v>
                </c:pt>
                <c:pt idx="11">
                  <c:v>0</c:v>
                </c:pt>
                <c:pt idx="12">
                  <c:v>0</c:v>
                </c:pt>
                <c:pt idx="13">
                  <c:v>0</c:v>
                </c:pt>
                <c:pt idx="14">
                  <c:v>0</c:v>
                </c:pt>
              </c:numCache>
            </c:numRef>
          </c:val>
          <c:extLst>
            <c:ext xmlns:c16="http://schemas.microsoft.com/office/drawing/2014/chart" uri="{C3380CC4-5D6E-409C-BE32-E72D297353CC}">
              <c16:uniqueId val="{00000001-9E66-4A07-9AEF-5B86040F16AB}"/>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1361</xdr:rowOff>
    </xdr:from>
    <xdr:to>
      <xdr:col>9</xdr:col>
      <xdr:colOff>0</xdr:colOff>
      <xdr:row>22</xdr:row>
      <xdr:rowOff>163286</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5443</xdr:colOff>
      <xdr:row>24</xdr:row>
      <xdr:rowOff>19050</xdr:rowOff>
    </xdr:from>
    <xdr:to>
      <xdr:col>8</xdr:col>
      <xdr:colOff>598715</xdr:colOff>
      <xdr:row>42</xdr:row>
      <xdr:rowOff>180975</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122464</xdr:colOff>
      <xdr:row>3</xdr:row>
      <xdr:rowOff>190499</xdr:rowOff>
    </xdr:from>
    <xdr:to>
      <xdr:col>17</xdr:col>
      <xdr:colOff>231321</xdr:colOff>
      <xdr:row>22</xdr:row>
      <xdr:rowOff>161924</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149678</xdr:colOff>
      <xdr:row>24</xdr:row>
      <xdr:rowOff>13607</xdr:rowOff>
    </xdr:from>
    <xdr:to>
      <xdr:col>17</xdr:col>
      <xdr:colOff>231321</xdr:colOff>
      <xdr:row>42</xdr:row>
      <xdr:rowOff>175532</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zoomScale="70" zoomScaleNormal="70" workbookViewId="0">
      <selection activeCell="U19" sqref="U19"/>
    </sheetView>
  </sheetViews>
  <sheetFormatPr defaultRowHeight="15" x14ac:dyDescent="0.25"/>
  <cols>
    <col min="11" max="11" width="2.5703125" customWidth="1"/>
    <col min="12" max="12" width="20.85546875" bestFit="1" customWidth="1"/>
  </cols>
  <sheetData>
    <row r="1" spans="4:12" x14ac:dyDescent="0.25">
      <c r="D1" s="15" t="s">
        <v>4</v>
      </c>
      <c r="E1" s="16"/>
      <c r="F1" s="16"/>
      <c r="G1" s="16"/>
      <c r="H1" s="16"/>
      <c r="I1" s="16"/>
      <c r="J1" s="17"/>
      <c r="L1" s="9" t="s">
        <v>7</v>
      </c>
    </row>
    <row r="2" spans="4:12" x14ac:dyDescent="0.25">
      <c r="D2" s="16"/>
      <c r="E2" s="16"/>
      <c r="F2" s="16"/>
      <c r="G2" s="16"/>
      <c r="H2" s="16"/>
      <c r="I2" s="16"/>
      <c r="J2" s="17"/>
      <c r="L2" s="1" t="s">
        <v>0</v>
      </c>
    </row>
    <row r="3" spans="4:12" x14ac:dyDescent="0.25">
      <c r="L3" s="1" t="s">
        <v>2</v>
      </c>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4"/>
  <sheetViews>
    <sheetView tabSelected="1" zoomScale="85" zoomScaleNormal="85" workbookViewId="0">
      <pane ySplit="2" topLeftCell="A3" activePane="bottomLeft" state="frozen"/>
      <selection pane="bottomLeft" activeCell="C2" sqref="C2:P2"/>
    </sheetView>
  </sheetViews>
  <sheetFormatPr defaultColWidth="0" defaultRowHeight="15" zeroHeight="1" x14ac:dyDescent="0.25"/>
  <cols>
    <col min="1" max="1" width="51.7109375" customWidth="1"/>
    <col min="2" max="2" width="13.85546875" customWidth="1"/>
    <col min="3" max="15" width="10.28515625" bestFit="1" customWidth="1"/>
    <col min="16" max="16" width="12.5703125" bestFit="1" customWidth="1"/>
    <col min="17" max="62" width="9.140625" customWidth="1"/>
    <col min="63" max="16384" width="9.140625" hidden="1"/>
  </cols>
  <sheetData>
    <row r="1" spans="1:62" ht="60" customHeight="1" x14ac:dyDescent="0.25">
      <c r="C1" s="18" t="s">
        <v>9</v>
      </c>
      <c r="D1" s="18"/>
      <c r="E1" s="18"/>
      <c r="F1" s="18"/>
      <c r="G1" s="18"/>
      <c r="H1" s="18"/>
      <c r="I1" s="18"/>
      <c r="J1" s="18"/>
      <c r="K1" s="18"/>
      <c r="L1" s="18"/>
      <c r="M1" s="18"/>
      <c r="N1" s="19" t="s">
        <v>10</v>
      </c>
      <c r="O1" s="20"/>
      <c r="P1" s="20"/>
      <c r="Q1" s="20"/>
      <c r="R1" s="20"/>
      <c r="S1" s="20"/>
      <c r="T1" s="17"/>
    </row>
    <row r="2" spans="1:62" s="1" customFormat="1" ht="33.75" customHeight="1" x14ac:dyDescent="0.25">
      <c r="A2" s="12" t="s">
        <v>8</v>
      </c>
      <c r="B2" s="12" t="str">
        <f>IF('Burndown Chart'!$L$2="","Planned Effort",'Burndown Chart'!$L$2)</f>
        <v>Planned Effort</v>
      </c>
      <c r="C2" s="23">
        <v>43419</v>
      </c>
      <c r="D2" s="23">
        <v>43420</v>
      </c>
      <c r="E2" s="23">
        <v>43421</v>
      </c>
      <c r="F2" s="23">
        <v>43422</v>
      </c>
      <c r="G2" s="23">
        <v>43423</v>
      </c>
      <c r="H2" s="23">
        <v>43424</v>
      </c>
      <c r="I2" s="23">
        <v>43425</v>
      </c>
      <c r="J2" s="23">
        <v>43426</v>
      </c>
      <c r="K2" s="23">
        <v>43427</v>
      </c>
      <c r="L2" s="23">
        <v>43428</v>
      </c>
      <c r="M2" s="23">
        <v>43429</v>
      </c>
      <c r="N2" s="23">
        <v>43430</v>
      </c>
      <c r="O2" s="23">
        <v>43431</v>
      </c>
      <c r="P2" s="24">
        <v>43432</v>
      </c>
      <c r="Q2" s="12"/>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16.5" thickBot="1" x14ac:dyDescent="0.3">
      <c r="A3" s="11"/>
      <c r="C3" s="13"/>
      <c r="D3" s="14"/>
      <c r="E3" s="14"/>
      <c r="F3" s="14"/>
      <c r="G3" s="14"/>
      <c r="H3" s="14"/>
      <c r="I3" s="14"/>
      <c r="J3" s="14"/>
      <c r="K3" s="14"/>
      <c r="L3" s="14"/>
      <c r="M3" s="14"/>
      <c r="N3" s="14"/>
      <c r="O3" s="14"/>
      <c r="P3" s="14"/>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43.5" thickBot="1" x14ac:dyDescent="0.3">
      <c r="A4" s="21" t="s">
        <v>11</v>
      </c>
      <c r="B4">
        <v>40</v>
      </c>
      <c r="C4">
        <v>40</v>
      </c>
      <c r="D4">
        <v>30</v>
      </c>
      <c r="E4">
        <v>30</v>
      </c>
      <c r="F4">
        <v>25</v>
      </c>
      <c r="G4">
        <v>20</v>
      </c>
      <c r="H4">
        <v>15</v>
      </c>
      <c r="I4">
        <v>10</v>
      </c>
      <c r="J4">
        <v>5</v>
      </c>
      <c r="K4">
        <v>0</v>
      </c>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29.25" thickBot="1" x14ac:dyDescent="0.3">
      <c r="A5" s="22" t="s">
        <v>12</v>
      </c>
      <c r="B5">
        <v>40</v>
      </c>
      <c r="C5" s="3">
        <v>40</v>
      </c>
      <c r="D5" s="3">
        <v>30</v>
      </c>
      <c r="E5" s="3">
        <v>20</v>
      </c>
      <c r="F5" s="3">
        <v>10</v>
      </c>
      <c r="G5" s="3">
        <v>5</v>
      </c>
      <c r="H5" s="3">
        <v>0</v>
      </c>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29.25" thickBot="1" x14ac:dyDescent="0.3">
      <c r="A6" s="21" t="s">
        <v>13</v>
      </c>
      <c r="B6">
        <v>40</v>
      </c>
      <c r="C6" s="3">
        <v>40</v>
      </c>
      <c r="D6" s="3">
        <v>30</v>
      </c>
      <c r="E6" s="3">
        <v>20</v>
      </c>
      <c r="F6" s="3">
        <v>10</v>
      </c>
      <c r="G6" s="3">
        <v>5</v>
      </c>
      <c r="H6" s="3">
        <v>0</v>
      </c>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29.25" thickBot="1" x14ac:dyDescent="0.3">
      <c r="A7" s="21" t="s">
        <v>14</v>
      </c>
      <c r="B7">
        <v>40</v>
      </c>
      <c r="C7" s="3">
        <v>40</v>
      </c>
      <c r="D7" s="3">
        <v>30</v>
      </c>
      <c r="E7" s="3">
        <v>30</v>
      </c>
      <c r="F7" s="3">
        <v>20</v>
      </c>
      <c r="G7" s="3">
        <v>10</v>
      </c>
      <c r="H7" s="3">
        <v>0</v>
      </c>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5">
      <c r="A8" s="11"/>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5">
      <c r="A9" s="11"/>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ht="15.75" x14ac:dyDescent="0.25">
      <c r="A10" s="10"/>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ht="15.75" x14ac:dyDescent="0.25">
      <c r="A11" s="10"/>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5">
      <c r="A12" s="11"/>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ht="15.75" x14ac:dyDescent="0.25">
      <c r="A13" s="10"/>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ht="15.75" x14ac:dyDescent="0.25">
      <c r="A14" s="10"/>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ht="15.75" x14ac:dyDescent="0.25">
      <c r="A15" s="10"/>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ht="15.75" x14ac:dyDescent="0.25">
      <c r="A16" s="10"/>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ht="15.75" x14ac:dyDescent="0.25">
      <c r="A17" s="10"/>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ht="15.75" x14ac:dyDescent="0.25">
      <c r="A18" s="10"/>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ht="15.75" x14ac:dyDescent="0.25">
      <c r="A19" s="10"/>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ht="15.75" x14ac:dyDescent="0.25">
      <c r="A20" s="10"/>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ht="15.75"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ht="15.75"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ht="15.75"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ht="15.75" x14ac:dyDescent="0.25">
      <c r="A24" s="10"/>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ht="15.75" x14ac:dyDescent="0.25">
      <c r="A25" s="10"/>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ht="15.75" x14ac:dyDescent="0.25">
      <c r="A26" s="10"/>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ht="15.75" x14ac:dyDescent="0.25">
      <c r="A27" s="10"/>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ht="15.75" x14ac:dyDescent="0.25">
      <c r="A28" s="10"/>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ht="15.75" x14ac:dyDescent="0.25">
      <c r="A29" s="10"/>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ht="15.75" x14ac:dyDescent="0.25">
      <c r="A30" s="10"/>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5">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5"/>
    <row r="204" spans="3:62" x14ac:dyDescent="0.25"/>
  </sheetData>
  <mergeCells count="2">
    <mergeCell ref="C1:M1"/>
    <mergeCell ref="N1:T1"/>
  </mergeCells>
  <conditionalFormatting sqref="C2:BJ2">
    <cfRule type="expression" dxfId="1" priority="2">
      <formula>AND(C$2&lt;&gt;"",WEEKDAY(C$2,2)&gt;5)</formula>
    </cfRule>
  </conditionalFormatting>
  <conditionalFormatting sqref="C3">
    <cfRule type="expression" dxfId="0" priority="1">
      <formula>AND(C$2&lt;&gt;"",WEEKDAY(C$2,2)&gt;5)</formula>
    </cfRule>
  </conditionalFormatting>
  <dataValidations xWindow="520" yWindow="421" count="3">
    <dataValidation type="date" allowBlank="1" showInputMessage="1" showErrorMessage="1" errorTitle="Erorr in the Date Entry" error="Only a valid date between 1-Jan-2015 to 31-Dec-9999 is permitted" promptTitle="Date Entry" prompt="Enter a valid date between 1-Jan-2015 to 31-Dec-9999." sqref="C2:BJ2 C3" xr:uid="{00000000-0002-0000-0100-000000000000}">
      <formula1>42005</formula1>
      <formula2>2958465</formula2>
    </dataValidation>
    <dataValidation type="decimal" operator="greaterThanOrEqual" allowBlank="1" showInputMessage="1" showErrorMessage="1" errorTitle="Entry Error" error="Planned Effort Should be &gt;=0" sqref="C4:P4 B3:B202" xr:uid="{00000000-0002-0000-0100-000001000000}">
      <formula1>0</formula1>
    </dataValidation>
    <dataValidation type="custom" showInputMessage="1" showErrorMessage="1" errorTitle="Input Error" error="Read the Validations Rules to Input Right Data" sqref="C5:P202 D3:P3 Q3:BJ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43419</v>
      </c>
      <c r="D1" s="8">
        <f>IF(Input!D$2="","",Input!D$2)</f>
        <v>43420</v>
      </c>
      <c r="E1" s="8">
        <f>IF(Input!E$2="","",Input!E$2)</f>
        <v>43421</v>
      </c>
      <c r="F1" s="8">
        <f>IF(Input!F$2="","",Input!F$2)</f>
        <v>43422</v>
      </c>
      <c r="G1" s="8">
        <f>IF(Input!G$2="","",Input!G$2)</f>
        <v>43423</v>
      </c>
      <c r="H1" s="8">
        <f>IF(Input!H$2="","",Input!H$2)</f>
        <v>43424</v>
      </c>
      <c r="I1" s="8">
        <f>IF(Input!I$2="","",Input!I$2)</f>
        <v>43425</v>
      </c>
      <c r="J1" s="8">
        <f>IF(Input!J$2="","",Input!J$2)</f>
        <v>43426</v>
      </c>
      <c r="K1" s="8">
        <f>IF(Input!K$2="","",Input!K$2)</f>
        <v>43427</v>
      </c>
      <c r="L1" s="8">
        <f>IF(Input!L$2="","",Input!L$2)</f>
        <v>43428</v>
      </c>
      <c r="M1" s="8">
        <f>IF(Input!M$2="","",Input!M$2)</f>
        <v>43429</v>
      </c>
      <c r="N1" s="8">
        <f>IF(Input!N$2="","",Input!N$2)</f>
        <v>43430</v>
      </c>
      <c r="O1" s="8">
        <f>IF(Input!O$2="","",Input!O$2)</f>
        <v>43431</v>
      </c>
      <c r="P1" s="8">
        <f>IF(Input!P$2="","",Input!P$2)</f>
        <v>43432</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SUM(Input!$B$3:$B$202)</f>
        <v>160</v>
      </c>
      <c r="C2" s="4">
        <f t="shared" ref="C2:AH2" si="0">IF(C$1="","",B$2-$B$2/(SUMPRODUCT(--($C$1:$BJ$1&lt;&gt;""))))</f>
        <v>148.57142857142858</v>
      </c>
      <c r="D2" s="4">
        <f t="shared" si="0"/>
        <v>137.14285714285717</v>
      </c>
      <c r="E2" s="4">
        <f t="shared" si="0"/>
        <v>125.71428571428574</v>
      </c>
      <c r="F2" s="4">
        <f t="shared" si="0"/>
        <v>114.28571428571431</v>
      </c>
      <c r="G2" s="4">
        <f t="shared" si="0"/>
        <v>102.85714285714288</v>
      </c>
      <c r="H2" s="4">
        <f t="shared" si="0"/>
        <v>91.428571428571445</v>
      </c>
      <c r="I2" s="4">
        <f t="shared" si="0"/>
        <v>80.000000000000014</v>
      </c>
      <c r="J2" s="4">
        <f t="shared" si="0"/>
        <v>68.571428571428584</v>
      </c>
      <c r="K2" s="4">
        <f t="shared" si="0"/>
        <v>57.142857142857153</v>
      </c>
      <c r="L2" s="4">
        <f t="shared" si="0"/>
        <v>45.714285714285722</v>
      </c>
      <c r="M2" s="4">
        <f t="shared" si="0"/>
        <v>34.285714285714292</v>
      </c>
      <c r="N2" s="4">
        <f t="shared" si="0"/>
        <v>22.857142857142861</v>
      </c>
      <c r="O2" s="4">
        <f t="shared" si="0"/>
        <v>11.428571428571432</v>
      </c>
      <c r="P2" s="4">
        <f t="shared" si="0"/>
        <v>3.5527136788005009E-15</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SUM(Input!$B$3:$B$202)</f>
        <v>160</v>
      </c>
      <c r="C3" s="4">
        <f>IF(C$1="","",SUM(Input!C$3:C$202))</f>
        <v>160</v>
      </c>
      <c r="D3" s="4">
        <f>IF(D$1="","",SUM(Input!D$3:D$202))</f>
        <v>120</v>
      </c>
      <c r="E3" s="4">
        <f>IF(E$1="","",SUM(Input!E$3:E$202))</f>
        <v>100</v>
      </c>
      <c r="F3" s="4">
        <f>IF(F$1="","",SUM(Input!F$3:F$202))</f>
        <v>65</v>
      </c>
      <c r="G3" s="4">
        <f>IF(G$1="","",SUM(Input!G$3:G$202))</f>
        <v>40</v>
      </c>
      <c r="H3" s="4">
        <f>IF(H$1="","",SUM(Input!H$3:H$202))</f>
        <v>15</v>
      </c>
      <c r="I3" s="4">
        <f>IF(I$1="","",SUM(Input!I$3:I$202))</f>
        <v>10</v>
      </c>
      <c r="J3" s="4">
        <f>IF(J$1="","",SUM(Input!J$3:J$202))</f>
        <v>5</v>
      </c>
      <c r="K3" s="4">
        <f>IF(K$1="","",SUM(Input!K$3:K$202))</f>
        <v>0</v>
      </c>
      <c r="L3" s="4">
        <f>IF(L$1="","",SUM(Input!L$3:L$202))</f>
        <v>0</v>
      </c>
      <c r="M3" s="4">
        <f>IF(M$1="","",SUM(Input!M$3:M$202))</f>
        <v>0</v>
      </c>
      <c r="N3" s="4">
        <f>IF(N$1="","",SUM(Input!N$3:N$202))</f>
        <v>0</v>
      </c>
      <c r="O3" s="4">
        <f>IF(O$1="","",SUM(Input!O$3:O$202))</f>
        <v>0</v>
      </c>
      <c r="P3" s="4">
        <f>IF(P$1="","",SUM(Input!P$3:P$202))</f>
        <v>0</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5">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e">
        <f ca="1">IF(M$1="","",CountCTs(Input!M$3:M$202))</f>
        <v>#NAME?</v>
      </c>
      <c r="N4" t="e">
        <f ca="1">IF(N$1="","",CountCTs(Input!N$3:N$202))</f>
        <v>#NAME?</v>
      </c>
      <c r="O4" t="e">
        <f ca="1">IF(O$1="","",CountCTs(Input!O$3:O$202))</f>
        <v>#NAME?</v>
      </c>
      <c r="P4" t="e">
        <f ca="1">IF(P$1="","",CountCTs(Input!P$3:P$202))</f>
        <v>#NAME?</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5">
      <c r="A5" s="1" t="s">
        <v>6</v>
      </c>
      <c r="B5" s="2">
        <f>SUMPRODUCT(--(Input!$A$3:$A$202&lt;&gt;""))</f>
        <v>4</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Kuriyama Mirai</cp:lastModifiedBy>
  <cp:lastPrinted>2016-02-23T08:42:38Z</cp:lastPrinted>
  <dcterms:created xsi:type="dcterms:W3CDTF">2016-02-23T08:35:30Z</dcterms:created>
  <dcterms:modified xsi:type="dcterms:W3CDTF">2018-12-08T02:26:25Z</dcterms:modified>
</cp:coreProperties>
</file>