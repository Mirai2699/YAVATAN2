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AE94F5AD-E9CF-409E-9DD5-E5B75D88C3CB}" xr6:coauthVersionLast="40" xr6:coauthVersionMax="40"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D4" i="4"/>
  <c r="K4" i="4"/>
  <c r="E4" i="4"/>
  <c r="I4" i="4"/>
  <c r="F4" i="4"/>
  <c r="L4" i="4"/>
  <c r="G4" i="4"/>
  <c r="M4" i="4"/>
  <c r="J4" i="4"/>
  <c r="C4" i="4"/>
  <c r="O4" i="4"/>
  <c r="P4" i="4"/>
  <c r="N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<sst xmlns="http://schemas.openxmlformats.org/spreadsheetml/2006/main" count="17" uniqueCount="17">
  <si>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</si>
  <si>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</si>
  <si>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</si>
  <si>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</si>
  <si>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</si>
  <si>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</si>
  <si>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</si>
  <si>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</si>
  <si>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</si>
  <si>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</si>
  <si>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</si>
  <si>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system administrator, I can change my account password.</t>
  </si>
  <si>
    <t>As a group leader, I can change my account password.</t>
  </si>
  <si>
    <t>As a volunteer, I can change my account password</t>
  </si>
  <si>
    <t>As a product owner, I want that the password of my users be masked to hide the actual password from intruders.</t>
  </si>
  <si>
    <t>As a product owner, I want to verify inputs from the users to ensure that all information entered are valid.</t>
  </si>
  <si>
    <t>As a product owner, I want my developers to ensure that the algorithm for encryption is not broken or risky.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</si>
</sst>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m/dd/yy;@"/>
  </numFmts>
  <fonts count="10"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2"/>
      <color theme="1"/>
      <name val="Arial"/>
      <family val="2"/>
    </font>
    <font>
      <sz val="11"/>
      <color theme="1"/>
      <name val="Arial"/>
      <family val="2"/>
    </font>
    <font>
      <b/>
      <sz val="12"/>
      <color theme="1"/>
      <name val="Calibri"/>
      <family val="2"/>
      <scheme val="minor"/>
    </font>
    <font>
      <sz val="11"/>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5">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0" fontId="7" fillId="0" borderId="0" xfId="0" applyFont="1" applyAlignment="1">
      <alignment wrapText="1"/>
    </xf>
    <xf numFmtId="164" fontId="8" fillId="0" borderId="0" xfId="0" applyNumberFormat="1" applyFon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0" fontId="9" fillId="0" borderId="1" xfId="0" applyFont="1" applyBorder="1" applyAlignment="1">
      <alignment vertical="center" wrapText="1"/>
    </xf>
    <xf numFmtId="0" fontId="9" fillId="0" borderId="2" xfId="0" applyFont="1" applyBorder="1" applyAlignment="1">
      <alignment vertical="center" wrapText="1"/>
    </xf>
    <xf numFmtId="0" fontId="7" fillId="0" borderId="1" xfId="0" applyFont="1" applyBorder="1" applyAlignment="1">
      <alignment vertical="center" wrapText="1"/>
    </xf>
    <xf numFmtId="0" fontId="7" fillId="0" borderId="2" xfId="0" applyFont="1" applyBorder="1" applyAlignment="1">
      <alignment vertical="center" wrapText="1"/>
    </xf>
    <xf numFmtId="166" fontId="8" fillId="0" borderId="0" xfId="0" applyNumberFormat="1" applyFont="1" applyAlignment="1"/>
    <xf numFmtId="14" fontId="8" fillId="0" borderId="0" xfId="0" applyNumberFormat="1" applyFont="1" applyAlignment="1"/>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a:t>
            </a:r>
            <a:r>
              <a:rPr lang="en-US" b="1" baseline="0"/>
              <a:t> DCMS System</a:t>
            </a:r>
            <a:endParaRPr lang="en-US" b="1"/>
          </a:p>
          <a:p>
            <a:pPr>
              <a:defRPr/>
            </a:pPr>
            <a:r>
              <a:rPr lang="en-US" b="1"/>
              <a:t>(Sprint 2 - Information Security)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90</c:v>
                </c:pt>
                <c:pt idx="1">
                  <c:v>60</c:v>
                </c:pt>
                <c:pt idx="2">
                  <c:v>25</c:v>
                </c:pt>
                <c:pt idx="3">
                  <c:v>20</c:v>
                </c:pt>
                <c:pt idx="4">
                  <c:v>15</c:v>
                </c:pt>
                <c:pt idx="5">
                  <c:v>10</c:v>
                </c:pt>
                <c:pt idx="6">
                  <c:v>8</c:v>
                </c:pt>
                <c:pt idx="7">
                  <c:v>8</c:v>
                </c:pt>
                <c:pt idx="8">
                  <c:v>8</c:v>
                </c:pt>
                <c:pt idx="9">
                  <c:v>8</c:v>
                </c:pt>
                <c:pt idx="10">
                  <c:v>7</c:v>
                </c:pt>
                <c:pt idx="11">
                  <c:v>7</c:v>
                </c:pt>
                <c:pt idx="12">
                  <c:v>5</c:v>
                </c:pt>
                <c:pt idx="13">
                  <c:v>5</c:v>
                </c:pt>
                <c:pt idx="14">
                  <c:v>5</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endParaRPr lang="en-US" b="1" baseline="0"/>
          </a:p>
          <a:p>
            <a:pPr>
              <a:defRPr/>
            </a:pPr>
            <a:r>
              <a:rPr lang="en-US" b="1" baseline="0"/>
              <a:t>(Sprint 2 - Information Security)</a:t>
            </a:r>
            <a:endParaRPr lang="en-US" b="1"/>
          </a:p>
        </c:rich>
      </c:tx>
      <c:layout>
        <c:manualLayout>
          <c:xMode val="edge"/>
          <c:yMode val="edge"/>
          <c:x val="0.56605407968863697"/>
          <c:y val="3.890362511052166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0527305875347127E-2"/>
          <c:y val="0.18918663018581564"/>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[0]!HoursR</c:f>
              <c:numCache>
                <c:formatCode>0</c:formatCode>
                <c:ptCount val="15"/>
                <c:pt idx="0">
                  <c:v>90</c:v>
                </c:pt>
                <c:pt idx="1">
                  <c:v>60</c:v>
                </c:pt>
                <c:pt idx="2">
                  <c:v>25</c:v>
                </c:pt>
                <c:pt idx="3">
                  <c:v>20</c:v>
                </c:pt>
                <c:pt idx="4">
                  <c:v>15</c:v>
                </c:pt>
                <c:pt idx="5">
                  <c:v>10</c:v>
                </c:pt>
                <c:pt idx="6">
                  <c:v>8</c:v>
                </c:pt>
                <c:pt idx="7">
                  <c:v>8</c:v>
                </c:pt>
                <c:pt idx="8">
                  <c:v>8</c:v>
                </c:pt>
                <c:pt idx="9">
                  <c:v>8</c:v>
                </c:pt>
                <c:pt idx="10">
                  <c:v>7</c:v>
                </c:pt>
                <c:pt idx="11">
                  <c:v>7</c:v>
                </c:pt>
                <c:pt idx="12">
                  <c:v>5</c:v>
                </c:pt>
                <c:pt idx="13">
                  <c:v>5</c:v>
                </c:pt>
                <c:pt idx="14">
                  <c:v>5</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[0]!PlannedE</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 Information Security)</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90</c:v>
                </c:pt>
                <c:pt idx="1">
                  <c:v>60</c:v>
                </c:pt>
                <c:pt idx="2">
                  <c:v>25</c:v>
                </c:pt>
                <c:pt idx="3">
                  <c:v>20</c:v>
                </c:pt>
                <c:pt idx="4">
                  <c:v>15</c:v>
                </c:pt>
                <c:pt idx="5">
                  <c:v>10</c:v>
                </c:pt>
                <c:pt idx="6">
                  <c:v>8</c:v>
                </c:pt>
                <c:pt idx="7">
                  <c:v>8</c:v>
                </c:pt>
                <c:pt idx="8">
                  <c:v>8</c:v>
                </c:pt>
                <c:pt idx="9">
                  <c:v>8</c:v>
                </c:pt>
                <c:pt idx="10">
                  <c:v>7</c:v>
                </c:pt>
                <c:pt idx="11">
                  <c:v>7</c:v>
                </c:pt>
                <c:pt idx="12">
                  <c:v>5</c:v>
                </c:pt>
                <c:pt idx="13">
                  <c:v>5</c:v>
                </c:pt>
                <c:pt idx="14">
                  <c:v>5</c:v>
                </c:pt>
              </c:numCache>
            </c:numRef>
          </c:val>
          <c:extLst>
            <c:ext xmlns:c16="http://schemas.microsoft.com/office/drawing/2014/chart" uri="{C3380CC4-5D6E-409C-BE32-E72D297353CC}">
              <c16:uniqueId val="{00000000-1E7B-40FF-B83B-59DFC4A36C97}"/>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smooth val="0"/>
          <c:extLst>
            <c:ext xmlns:c16="http://schemas.microsoft.com/office/drawing/2014/chart" uri="{C3380CC4-5D6E-409C-BE32-E72D297353CC}">
              <c16:uniqueId val="{00000001-1E7B-40FF-B83B-59DFC4A36C9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2 - Information Security)</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Data'!$B$2:$P$2</c:f>
              <c:numCache>
                <c:formatCode>0</c:formatCode>
                <c:ptCount val="15"/>
                <c:pt idx="0">
                  <c:v>90</c:v>
                </c:pt>
                <c:pt idx="1">
                  <c:v>83.571428571428569</c:v>
                </c:pt>
                <c:pt idx="2">
                  <c:v>77.142857142857139</c:v>
                </c:pt>
                <c:pt idx="3">
                  <c:v>70.714285714285708</c:v>
                </c:pt>
                <c:pt idx="4">
                  <c:v>64.285714285714278</c:v>
                </c:pt>
                <c:pt idx="5">
                  <c:v>57.857142857142847</c:v>
                </c:pt>
                <c:pt idx="6">
                  <c:v>51.428571428571416</c:v>
                </c:pt>
                <c:pt idx="7">
                  <c:v>44.999999999999986</c:v>
                </c:pt>
                <c:pt idx="8">
                  <c:v>38.571428571428555</c:v>
                </c:pt>
                <c:pt idx="9">
                  <c:v>32.142857142857125</c:v>
                </c:pt>
                <c:pt idx="10">
                  <c:v>25.714285714285694</c:v>
                </c:pt>
                <c:pt idx="11">
                  <c:v>19.285714285714263</c:v>
                </c:pt>
                <c:pt idx="12">
                  <c:v>12.857142857142835</c:v>
                </c:pt>
                <c:pt idx="13">
                  <c:v>6.4285714285714057</c:v>
                </c:pt>
                <c:pt idx="14">
                  <c:v>-2.3092638912203256E-14</c:v>
                </c:pt>
              </c:numCache>
            </c:numRef>
          </c:val>
          <c:extLst>
            <c:ext xmlns:c16="http://schemas.microsoft.com/office/drawing/2014/chart" uri="{C3380CC4-5D6E-409C-BE32-E72D297353CC}">
              <c16:uniqueId val="{00000000-C9E3-42A3-A527-845A658AFA98}"/>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15-Nov-18</c:v>
                </c:pt>
                <c:pt idx="2">
                  <c:v>16-Nov-18</c:v>
                </c:pt>
                <c:pt idx="3">
                  <c:v>17-Nov-18</c:v>
                </c:pt>
                <c:pt idx="4">
                  <c:v>18-Nov-18</c:v>
                </c:pt>
                <c:pt idx="5">
                  <c:v>19-Nov-18</c:v>
                </c:pt>
                <c:pt idx="6">
                  <c:v>20-Nov-18</c:v>
                </c:pt>
                <c:pt idx="7">
                  <c:v>21-Nov-18</c:v>
                </c:pt>
                <c:pt idx="8">
                  <c:v>22-Nov-18</c:v>
                </c:pt>
                <c:pt idx="9">
                  <c:v>23-Nov-18</c:v>
                </c:pt>
                <c:pt idx="10">
                  <c:v>24-Nov-18</c:v>
                </c:pt>
                <c:pt idx="11">
                  <c:v>25-Nov-18</c:v>
                </c:pt>
                <c:pt idx="12">
                  <c:v>26-Nov-18</c:v>
                </c:pt>
                <c:pt idx="13">
                  <c:v>27-Nov-18</c:v>
                </c:pt>
                <c:pt idx="14">
                  <c:v>28-Nov-18</c:v>
                </c:pt>
              </c:strCache>
            </c:strRef>
          </c:cat>
          <c:val>
            <c:numRef>
              <c:f>'Final Data'!$B$3:$P$3</c:f>
              <c:numCache>
                <c:formatCode>0</c:formatCode>
                <c:ptCount val="15"/>
                <c:pt idx="0">
                  <c:v>90</c:v>
                </c:pt>
                <c:pt idx="1">
                  <c:v>60</c:v>
                </c:pt>
                <c:pt idx="2">
                  <c:v>25</c:v>
                </c:pt>
                <c:pt idx="3">
                  <c:v>20</c:v>
                </c:pt>
                <c:pt idx="4">
                  <c:v>15</c:v>
                </c:pt>
                <c:pt idx="5">
                  <c:v>10</c:v>
                </c:pt>
                <c:pt idx="6">
                  <c:v>8</c:v>
                </c:pt>
                <c:pt idx="7">
                  <c:v>8</c:v>
                </c:pt>
                <c:pt idx="8">
                  <c:v>8</c:v>
                </c:pt>
                <c:pt idx="9">
                  <c:v>8</c:v>
                </c:pt>
                <c:pt idx="10">
                  <c:v>7</c:v>
                </c:pt>
                <c:pt idx="11">
                  <c:v>7</c:v>
                </c:pt>
                <c:pt idx="12">
                  <c:v>5</c:v>
                </c:pt>
                <c:pt idx="13">
                  <c:v>5</c:v>
                </c:pt>
                <c:pt idx="14">
                  <c:v>5</c:v>
                </c:pt>
              </c:numCache>
            </c:numRef>
          </c:val>
          <c:extLst>
            <c:ext xmlns:c16="http://schemas.microsoft.com/office/drawing/2014/chart" uri="{C3380CC4-5D6E-409C-BE32-E72D297353CC}">
              <c16:uniqueId val="{00000001-C9E3-42A3-A527-845A658AFA98}"/>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42182</xdr:rowOff>
    </xdr:from>
    <xdr:to>
      <xdr:col>9</xdr:col>
      <xdr:colOff>435428</xdr:colOff>
      <xdr:row>22</xdr:row>
      <xdr:rowOff>13607</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23</xdr:row>
      <xdr:rowOff>14968</xdr:rowOff>
    </xdr:from>
    <xdr:to>
      <xdr:col>9</xdr:col>
      <xdr:colOff>435428</xdr:colOff>
      <xdr:row>41</xdr:row>
      <xdr:rowOff>176893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598714</xdr:colOff>
      <xdr:row>3</xdr:row>
      <xdr:rowOff>40822</xdr:rowOff>
    </xdr:from>
    <xdr:to>
      <xdr:col>19</xdr:col>
      <xdr:colOff>0</xdr:colOff>
      <xdr:row>22</xdr:row>
      <xdr:rowOff>12247</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14969</xdr:colOff>
      <xdr:row>23</xdr:row>
      <xdr:rowOff>9526</xdr:rowOff>
    </xdr:from>
    <xdr:to>
      <xdr:col>19</xdr:col>
      <xdr:colOff>23374</xdr:colOff>
      <xdr:row>41</xdr:row>
      <xdr:rowOff>171451</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6" zoomScale="70" zoomScaleNormal="70" workbookViewId="0">
      <selection activeCell="W7" sqref="W7"/>
    </sheetView>
  </sheetViews>
  <sheetFormatPr defaultRowHeight="15" x14ac:dyDescent="0.25"/>
  <cols>
    <col min="11" max="11" width="2.5703125" customWidth="1"/>
    <col min="12" max="12" width="20.85546875" bestFit="1" customWidth="1"/>
  </cols>
  <sheetData>
    <row r="1" spans="4:12" x14ac:dyDescent="0.25">
      <c r="D1" s="13" t="s">
        <v>4</v>
      </c>
      <c r="E1" s="14"/>
      <c r="F1" s="14"/>
      <c r="G1" s="14"/>
      <c r="H1" s="14"/>
      <c r="I1" s="14"/>
      <c r="J1" s="15"/>
      <c r="L1" s="9" t="s">
        <v>7</v>
      </c>
    </row>
    <row r="2" spans="4:12" x14ac:dyDescent="0.25">
      <c r="D2" s="14"/>
      <c r="E2" s="14"/>
      <c r="F2" s="14"/>
      <c r="G2" s="14"/>
      <c r="H2" s="14"/>
      <c r="I2" s="14"/>
      <c r="J2" s="15"/>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topLeftCell="B1" zoomScale="70" zoomScaleNormal="70" workbookViewId="0">
      <pane ySplit="2" topLeftCell="A3" activePane="bottomLeft" state="frozen"/>
      <selection pane="bottomLeft" activeCell="I4" sqref="I4"/>
    </sheetView>
  </sheetViews>
  <sheetFormatPr defaultColWidth="0" defaultRowHeight="15" zeroHeight="1" x14ac:dyDescent="0.25"/>
  <cols>
    <col min="1" max="1" width="51.7109375" customWidth="1"/>
    <col min="2" max="2" width="13.85546875" customWidth="1"/>
    <col min="3" max="15" width="10.7109375" bestFit="1" customWidth="1"/>
    <col min="16" max="16" width="13.140625" bestFit="1" customWidth="1"/>
    <col min="17" max="62" width="9.140625" customWidth="1"/>
    <col min="63" max="16384" width="9.140625" hidden="1"/>
  </cols>
  <sheetData>
    <row r="1" spans="1:62" ht="60" customHeight="1" x14ac:dyDescent="0.25">
      <c r="C1" s="16" t="s">
        <v>9</v>
      </c>
      <c r="D1" s="16"/>
      <c r="E1" s="16"/>
      <c r="F1" s="16"/>
      <c r="G1" s="16"/>
      <c r="H1" s="16"/>
      <c r="I1" s="16"/>
      <c r="J1" s="16"/>
      <c r="K1" s="16"/>
      <c r="L1" s="16"/>
      <c r="M1" s="16"/>
      <c r="N1" s="17" t="s">
        <v>10</v>
      </c>
      <c r="O1" s="18"/>
      <c r="P1" s="18"/>
      <c r="Q1" s="18"/>
      <c r="R1" s="18"/>
      <c r="S1" s="18"/>
      <c r="T1" s="15"/>
    </row>
    <row r="2" spans="1:62" s="1" customFormat="1" ht="33.75" customHeight="1" thickBot="1" x14ac:dyDescent="0.3">
      <c r="A2" s="12" t="s">
        <v>8</v>
      </c>
      <c r="B2" s="12" t="str">
        <f>IF('Burndown Chart'!$L$2="","Planned Effort",'Burndown Chart'!$L$2)</f>
        <v>Planned Effort</v>
      </c>
      <c r="C2" s="23">
        <v>43419</v>
      </c>
      <c r="D2" s="23">
        <v>43420</v>
      </c>
      <c r="E2" s="23">
        <v>43421</v>
      </c>
      <c r="F2" s="23">
        <v>43422</v>
      </c>
      <c r="G2" s="23">
        <v>43423</v>
      </c>
      <c r="H2" s="23">
        <v>43424</v>
      </c>
      <c r="I2" s="23">
        <v>43425</v>
      </c>
      <c r="J2" s="23">
        <v>43426</v>
      </c>
      <c r="K2" s="23">
        <v>43427</v>
      </c>
      <c r="L2" s="23">
        <v>43428</v>
      </c>
      <c r="M2" s="23">
        <v>43429</v>
      </c>
      <c r="N2" s="23">
        <v>43430</v>
      </c>
      <c r="O2" s="23">
        <v>43431</v>
      </c>
      <c r="P2" s="24">
        <v>43432</v>
      </c>
      <c r="Q2" s="12"/>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9.25" thickBot="1" x14ac:dyDescent="0.3">
      <c r="A3" s="19" t="s">
        <v>11</v>
      </c>
      <c r="B3">
        <v>15</v>
      </c>
      <c r="C3">
        <v>10</v>
      </c>
      <c r="D3" s="3">
        <v>0</v>
      </c>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9.25" thickBot="1" x14ac:dyDescent="0.3">
      <c r="A4" s="20" t="s">
        <v>12</v>
      </c>
      <c r="B4">
        <v>15</v>
      </c>
      <c r="C4" s="3">
        <v>10</v>
      </c>
      <c r="D4" s="3">
        <v>0</v>
      </c>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15.75" thickBot="1" x14ac:dyDescent="0.3">
      <c r="A5" s="20" t="s">
        <v>13</v>
      </c>
      <c r="B5">
        <v>15</v>
      </c>
      <c r="C5" s="3">
        <v>10</v>
      </c>
      <c r="D5" s="3">
        <v>0</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44.25" thickBot="1" x14ac:dyDescent="0.3">
      <c r="A6" s="11" t="s">
        <v>14</v>
      </c>
      <c r="B6">
        <v>15</v>
      </c>
      <c r="C6" s="3">
        <v>10</v>
      </c>
      <c r="D6" s="3">
        <v>10</v>
      </c>
      <c r="E6" s="3">
        <v>10</v>
      </c>
      <c r="F6" s="3">
        <v>10</v>
      </c>
      <c r="G6" s="3">
        <v>10</v>
      </c>
      <c r="H6" s="3">
        <v>8</v>
      </c>
      <c r="I6" s="3">
        <v>8</v>
      </c>
      <c r="J6" s="3">
        <v>8</v>
      </c>
      <c r="K6" s="3">
        <v>8</v>
      </c>
      <c r="L6" s="3">
        <v>7</v>
      </c>
      <c r="M6" s="3">
        <v>7</v>
      </c>
      <c r="N6" s="3">
        <v>5</v>
      </c>
      <c r="O6" s="3">
        <v>5</v>
      </c>
      <c r="P6" s="3">
        <v>5</v>
      </c>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29.25" thickBot="1" x14ac:dyDescent="0.3">
      <c r="A7" s="21" t="s">
        <v>15</v>
      </c>
      <c r="B7">
        <v>15</v>
      </c>
      <c r="C7" s="3">
        <v>10</v>
      </c>
      <c r="D7" s="3">
        <v>5</v>
      </c>
      <c r="E7" s="3">
        <v>0</v>
      </c>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43.5" thickBot="1" x14ac:dyDescent="0.3">
      <c r="A8" s="22" t="s">
        <v>16</v>
      </c>
      <c r="B8">
        <v>15</v>
      </c>
      <c r="C8">
        <v>10</v>
      </c>
      <c r="D8">
        <v>10</v>
      </c>
      <c r="E8">
        <v>10</v>
      </c>
      <c r="F8">
        <v>5</v>
      </c>
      <c r="G8">
        <v>0</v>
      </c>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s="11"/>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15.75" x14ac:dyDescent="0.25">
      <c r="A10" s="10"/>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ht="15.75" x14ac:dyDescent="0.25">
      <c r="A11" s="10"/>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s="11"/>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ht="15.75" x14ac:dyDescent="0.25">
      <c r="A13" s="10"/>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ht="15.75" x14ac:dyDescent="0.25">
      <c r="A14" s="10"/>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15.75"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15.75"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15.75"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15.75"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15.75"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15.75"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ht="15.75"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ht="15.75"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ht="15.75"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ht="15.75" x14ac:dyDescent="0.25">
      <c r="A24" s="10"/>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ht="15.75" x14ac:dyDescent="0.25">
      <c r="A25" s="10"/>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ht="15.75" x14ac:dyDescent="0.25">
      <c r="A26" s="1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ht="15.75" x14ac:dyDescent="0.25">
      <c r="A27" s="10"/>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ht="15.75" x14ac:dyDescent="0.25">
      <c r="A28" s="10"/>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ht="15.75" x14ac:dyDescent="0.25">
      <c r="A29" s="10"/>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ht="15.75" x14ac:dyDescent="0.25">
      <c r="A30" s="10"/>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C2:BJ2">
    <cfRule type="expression" dxfId="0" priority="2">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C8:P8" xr:uid="{00000000-0002-0000-0100-000001000000}">
      <formula1>0</formula1>
    </dataValidation>
    <dataValidation type="custom" showInputMessage="1" showErrorMessage="1" errorTitle="Input Error" error="Read the Validations Rules to Input Right Data" sqref="Q3:BJ202 D3:P7 C4:C7 C9:P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43419</v>
      </c>
      <c r="D1" s="8">
        <f>IF(Input!D$2="","",Input!D$2)</f>
        <v>43420</v>
      </c>
      <c r="E1" s="8">
        <f>IF(Input!E$2="","",Input!E$2)</f>
        <v>43421</v>
      </c>
      <c r="F1" s="8">
        <f>IF(Input!F$2="","",Input!F$2)</f>
        <v>43422</v>
      </c>
      <c r="G1" s="8">
        <f>IF(Input!G$2="","",Input!G$2)</f>
        <v>43423</v>
      </c>
      <c r="H1" s="8">
        <f>IF(Input!H$2="","",Input!H$2)</f>
        <v>43424</v>
      </c>
      <c r="I1" s="8">
        <f>IF(Input!I$2="","",Input!I$2)</f>
        <v>43425</v>
      </c>
      <c r="J1" s="8">
        <f>IF(Input!J$2="","",Input!J$2)</f>
        <v>43426</v>
      </c>
      <c r="K1" s="8">
        <f>IF(Input!K$2="","",Input!K$2)</f>
        <v>43427</v>
      </c>
      <c r="L1" s="8">
        <f>IF(Input!L$2="","",Input!L$2)</f>
        <v>43428</v>
      </c>
      <c r="M1" s="8">
        <f>IF(Input!M$2="","",Input!M$2)</f>
        <v>43429</v>
      </c>
      <c r="N1" s="8">
        <f>IF(Input!N$2="","",Input!N$2)</f>
        <v>43430</v>
      </c>
      <c r="O1" s="8">
        <f>IF(Input!O$2="","",Input!O$2)</f>
        <v>43431</v>
      </c>
      <c r="P1" s="8">
        <f>IF(Input!P$2="","",Input!P$2)</f>
        <v>43432</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90</v>
      </c>
      <c r="C2" s="4">
        <f t="shared" ref="C2:AH2" si="0">IF(C$1="","",B$2-$B$2/(SUMPRODUCT(--($C$1:$BJ$1&lt;&gt;""))))</f>
        <v>83.571428571428569</v>
      </c>
      <c r="D2" s="4">
        <f t="shared" si="0"/>
        <v>77.142857142857139</v>
      </c>
      <c r="E2" s="4">
        <f t="shared" si="0"/>
        <v>70.714285714285708</v>
      </c>
      <c r="F2" s="4">
        <f t="shared" si="0"/>
        <v>64.285714285714278</v>
      </c>
      <c r="G2" s="4">
        <f t="shared" si="0"/>
        <v>57.857142857142847</v>
      </c>
      <c r="H2" s="4">
        <f t="shared" si="0"/>
        <v>51.428571428571416</v>
      </c>
      <c r="I2" s="4">
        <f t="shared" si="0"/>
        <v>44.999999999999986</v>
      </c>
      <c r="J2" s="4">
        <f t="shared" si="0"/>
        <v>38.571428571428555</v>
      </c>
      <c r="K2" s="4">
        <f t="shared" si="0"/>
        <v>32.142857142857125</v>
      </c>
      <c r="L2" s="4">
        <f t="shared" si="0"/>
        <v>25.714285714285694</v>
      </c>
      <c r="M2" s="4">
        <f t="shared" si="0"/>
        <v>19.285714285714263</v>
      </c>
      <c r="N2" s="4">
        <f t="shared" si="0"/>
        <v>12.857142857142835</v>
      </c>
      <c r="O2" s="4">
        <f t="shared" si="0"/>
        <v>6.4285714285714057</v>
      </c>
      <c r="P2" s="4">
        <f t="shared" si="0"/>
        <v>-2.3092638912203256E-14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90</v>
      </c>
      <c r="C3" s="4">
        <f>IF(C$1="","",SUM(Input!C$3:C$202))</f>
        <v>60</v>
      </c>
      <c r="D3" s="4">
        <f>IF(D$1="","",SUM(Input!D$3:D$202))</f>
        <v>25</v>
      </c>
      <c r="E3" s="4">
        <f>IF(E$1="","",SUM(Input!E$3:E$202))</f>
        <v>20</v>
      </c>
      <c r="F3" s="4">
        <f>IF(F$1="","",SUM(Input!F$3:F$202))</f>
        <v>15</v>
      </c>
      <c r="G3" s="4">
        <f>IF(G$1="","",SUM(Input!G$3:G$202))</f>
        <v>10</v>
      </c>
      <c r="H3" s="4">
        <f>IF(H$1="","",SUM(Input!H$3:H$202))</f>
        <v>8</v>
      </c>
      <c r="I3" s="4">
        <f>IF(I$1="","",SUM(Input!I$3:I$202))</f>
        <v>8</v>
      </c>
      <c r="J3" s="4">
        <f>IF(J$1="","",SUM(Input!J$3:J$202))</f>
        <v>8</v>
      </c>
      <c r="K3" s="4">
        <f>IF(K$1="","",SUM(Input!K$3:K$202))</f>
        <v>8</v>
      </c>
      <c r="L3" s="4">
        <f>IF(L$1="","",SUM(Input!L$3:L$202))</f>
        <v>7</v>
      </c>
      <c r="M3" s="4">
        <f>IF(M$1="","",SUM(Input!M$3:M$202))</f>
        <v>7</v>
      </c>
      <c r="N3" s="4">
        <f>IF(N$1="","",SUM(Input!N$3:N$202))</f>
        <v>5</v>
      </c>
      <c r="O3" s="4">
        <f>IF(O$1="","",SUM(Input!O$3:O$202))</f>
        <v>5</v>
      </c>
      <c r="P3" s="4">
        <f>IF(P$1="","",SUM(Input!P$3:P$202))</f>
        <v>5</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6</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2018-12-08T02:16:45Z</dcterms:modified>
</cp:coreProperties>
</file>